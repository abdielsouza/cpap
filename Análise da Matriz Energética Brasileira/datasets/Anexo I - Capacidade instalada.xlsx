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3.xml" ContentType="application/vnd.openxmlformats-officedocument.drawingml.chartshapes+xml"/>
  <Override PartName="/xl/drawings/drawing5.xml" ContentType="application/vnd.openxmlformats-officedocument.drawingml.chartshapes+xml"/>
  <Override PartName="/xl/drawings/drawing7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X:\BEN\BEN - 2026\07 Arquivos Site\Séries Completas (1970 a 2025)\"/>
    </mc:Choice>
  </mc:AlternateContent>
  <xr:revisionPtr revIDLastSave="0" documentId="13_ncr:1_{0BF56022-73BD-49CB-851C-F7885F9E914A}" xr6:coauthVersionLast="47" xr6:coauthVersionMax="47" xr10:uidLastSave="{00000000-0000-0000-0000-000000000000}"/>
  <bookViews>
    <workbookView xWindow="-120" yWindow="-120" windowWidth="29040" windowHeight="15720" activeTab="1" xr2:uid="{8C074401-87D8-4ED4-8AD5-985A3398A0A0}"/>
  </bookViews>
  <sheets>
    <sheet name="Índice" sheetId="1006" r:id="rId1"/>
    <sheet name="Tabela I.1" sheetId="1009" r:id="rId2"/>
    <sheet name="Tabela I.1.1" sheetId="1010" r:id="rId3"/>
    <sheet name="Tabela I.2" sheetId="1013" r:id="rId4"/>
    <sheet name="Tabela I.2.1" sheetId="1015" r:id="rId5"/>
    <sheet name="Tabela I.3" sheetId="1011" r:id="rId6"/>
    <sheet name="Tabela I.4" sheetId="1014" r:id="rId7"/>
    <sheet name="aux I.1" sheetId="1002" state="hidden" r:id="rId8"/>
    <sheet name="auxI.2" sheetId="1004" state="hidden" r:id="rId9"/>
    <sheet name="auxI.3" sheetId="1001" state="hidden" r:id="rId10"/>
  </sheets>
  <definedNames>
    <definedName name="_xlnm.Print_Area" localSheetId="7">'aux I.1'!$A$8:$O$52</definedName>
    <definedName name="_xlnm.Print_Area" localSheetId="8">auxI.2!$A$8:$B$18</definedName>
    <definedName name="_xlnm.Print_Area" localSheetId="9">auxI.3!$A$8:$B$47</definedName>
    <definedName name="_xlnm.Print_Area" localSheetId="1">'Tabela I.1'!$A$1:$Q$65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<sst xmlns="http://schemas.openxmlformats.org/spreadsheetml/2006/main" count="234" uniqueCount="138">
  <si>
    <t>MW</t>
  </si>
  <si>
    <t>TOTAL</t>
  </si>
  <si>
    <t>APE</t>
  </si>
  <si>
    <t>Tabelas:</t>
  </si>
  <si>
    <t>CAPACIDADE INSTALADA</t>
  </si>
  <si>
    <t>Capacidade Instalada de Refino de Petróleo</t>
  </si>
  <si>
    <t>Retorna ao Índice</t>
  </si>
  <si>
    <t xml:space="preserve">INSTALLED CAPACITY OF ELECTRIC ENERGY GENERATION </t>
  </si>
  <si>
    <t>TABLE I.1</t>
  </si>
  <si>
    <t>YEAR</t>
  </si>
  <si>
    <t xml:space="preserve">                       THERMO</t>
  </si>
  <si>
    <t>SP / PIE</t>
  </si>
  <si>
    <t>SP</t>
  </si>
  <si>
    <t>SP - Public Service        PIE - Independent Energy Producer      APE - Self-producer</t>
  </si>
  <si>
    <t>(1) It includes half of Itaipu Power Plant</t>
  </si>
  <si>
    <t xml:space="preserve">                      HYDRO (1)</t>
  </si>
  <si>
    <t>INSTALLED CAPACITY IN ITAIPU</t>
  </si>
  <si>
    <t>TABLE I.2</t>
  </si>
  <si>
    <r>
      <t xml:space="preserve">m³ / o-d </t>
    </r>
    <r>
      <rPr>
        <b/>
        <vertAlign val="superscript"/>
        <sz val="9"/>
        <rFont val="Tahoma"/>
        <family val="2"/>
      </rPr>
      <t>1</t>
    </r>
  </si>
  <si>
    <t>INSTALLED CAPACITY OF OIL REFINING IN DEC/31(*)</t>
  </si>
  <si>
    <t>TABLE I.3</t>
  </si>
  <si>
    <t>NUCLEAR</t>
  </si>
  <si>
    <t>THERMO E WIND</t>
  </si>
  <si>
    <t>SP e/ou PIE</t>
  </si>
  <si>
    <t>TERMO</t>
  </si>
  <si>
    <t>(2) Plants  PIE and SP, with shares of APE, are classified as SP / PIE.</t>
  </si>
  <si>
    <t>(3) Plants PIE, traditionally APE, are classified as APE.</t>
  </si>
  <si>
    <t>WIND</t>
  </si>
  <si>
    <t>SP / PIE (2)</t>
  </si>
  <si>
    <t>APE (3)</t>
  </si>
  <si>
    <t>APE ³</t>
  </si>
  <si>
    <t>SP / PIE ²</t>
  </si>
  <si>
    <t>SP-Serviço Público         PIE- Produção Independente de Energia       APE -  Autoprodução de energia</t>
  </si>
  <si>
    <t>SP - Public Service        PIE - Independent Energy Producer              APE - Self-producer</t>
  </si>
  <si>
    <t>ANO / YEAR</t>
  </si>
  <si>
    <t>EÓLICA</t>
  </si>
  <si>
    <t>Total</t>
  </si>
  <si>
    <t>Outras¹ / Others¹</t>
  </si>
  <si>
    <t>¹ Inclui Alcatrão/ Includes TAR</t>
  </si>
  <si>
    <t>² inclui calor de processo</t>
  </si>
  <si>
    <t>Usinas em Operação / Plants in operation</t>
  </si>
  <si>
    <t>Resíduos de madeira / Wood Waste</t>
  </si>
  <si>
    <t>Efluente Gasoso / Gaseous Effluent</t>
  </si>
  <si>
    <t>Capacidade Instalada de Produção de Biodiesel</t>
  </si>
  <si>
    <t>barris/dia (barrels/day)</t>
  </si>
  <si>
    <t>¹ 1º trem da refinaria RNEST entrou em operação em 6 dezembro de 2014, conforme Autorização ANP (de operação) nº 506/2014</t>
  </si>
  <si>
    <t>Tabela I.1</t>
  </si>
  <si>
    <t xml:space="preserve">HYDRO </t>
  </si>
  <si>
    <t>THERMO</t>
  </si>
  <si>
    <t>INSTALLED CAPACITY</t>
  </si>
  <si>
    <t>Capacidade Instalada de Itaipu</t>
  </si>
  <si>
    <t>Tabela I.1.1</t>
  </si>
  <si>
    <r>
      <t xml:space="preserve">Biomassa / </t>
    </r>
    <r>
      <rPr>
        <b/>
        <i/>
        <sz val="10"/>
        <rFont val="Tahoma"/>
        <family val="2"/>
      </rPr>
      <t>Biomass</t>
    </r>
  </si>
  <si>
    <r>
      <t xml:space="preserve">Bagaço / </t>
    </r>
    <r>
      <rPr>
        <i/>
        <sz val="10"/>
        <rFont val="Tahoma"/>
        <family val="2"/>
      </rPr>
      <t>Bagasse</t>
    </r>
  </si>
  <si>
    <r>
      <t xml:space="preserve">Outras / </t>
    </r>
    <r>
      <rPr>
        <b/>
        <i/>
        <sz val="10"/>
        <rFont val="Tahoma"/>
        <family val="2"/>
      </rPr>
      <t>Others</t>
    </r>
  </si>
  <si>
    <r>
      <t xml:space="preserve">Biogás / </t>
    </r>
    <r>
      <rPr>
        <i/>
        <sz val="10"/>
        <rFont val="Tahoma"/>
        <family val="2"/>
      </rPr>
      <t>Biogas</t>
    </r>
  </si>
  <si>
    <r>
      <t xml:space="preserve">Capim Elefante / </t>
    </r>
    <r>
      <rPr>
        <i/>
        <sz val="10"/>
        <rFont val="Tahoma"/>
        <family val="2"/>
      </rPr>
      <t>Elephant Grass</t>
    </r>
  </si>
  <si>
    <r>
      <t xml:space="preserve">Carvão Vegetal / </t>
    </r>
    <r>
      <rPr>
        <i/>
        <sz val="10"/>
        <rFont val="Tahoma"/>
        <family val="2"/>
      </rPr>
      <t>Charcoal</t>
    </r>
  </si>
  <si>
    <r>
      <t xml:space="preserve">Casca de Arroz / </t>
    </r>
    <r>
      <rPr>
        <i/>
        <sz val="10"/>
        <rFont val="Tahoma"/>
        <family val="2"/>
      </rPr>
      <t>Rice Peels</t>
    </r>
  </si>
  <si>
    <r>
      <t xml:space="preserve">Gás de Alto Forno - Biomassa / </t>
    </r>
    <r>
      <rPr>
        <i/>
        <sz val="10"/>
        <rFont val="Tahoma"/>
        <family val="2"/>
      </rPr>
      <t>Charcoal Gas</t>
    </r>
  </si>
  <si>
    <r>
      <t xml:space="preserve">Óleos Vegetais / </t>
    </r>
    <r>
      <rPr>
        <i/>
        <sz val="10"/>
        <rFont val="Tahoma"/>
        <family val="2"/>
      </rPr>
      <t>Vegetable Oil</t>
    </r>
  </si>
  <si>
    <r>
      <t xml:space="preserve">Carvão Mineral / </t>
    </r>
    <r>
      <rPr>
        <i/>
        <sz val="10"/>
        <rFont val="Tahoma"/>
        <family val="2"/>
      </rPr>
      <t>Steam Coal</t>
    </r>
  </si>
  <si>
    <r>
      <t xml:space="preserve">Gás de Refinaria / </t>
    </r>
    <r>
      <rPr>
        <i/>
        <sz val="10"/>
        <rFont val="Tahoma"/>
        <family val="2"/>
      </rPr>
      <t>Refinery Gas</t>
    </r>
  </si>
  <si>
    <r>
      <t xml:space="preserve">Gás Natural / </t>
    </r>
    <r>
      <rPr>
        <i/>
        <sz val="10"/>
        <rFont val="Tahoma"/>
        <family val="2"/>
      </rPr>
      <t>Natural Gas</t>
    </r>
  </si>
  <si>
    <r>
      <t xml:space="preserve">Óleo Combustível / </t>
    </r>
    <r>
      <rPr>
        <i/>
        <sz val="10"/>
        <rFont val="Tahoma"/>
        <family val="2"/>
      </rPr>
      <t>Fuel Oil</t>
    </r>
  </si>
  <si>
    <r>
      <t xml:space="preserve">Óleo Diesel / </t>
    </r>
    <r>
      <rPr>
        <i/>
        <sz val="10"/>
        <rFont val="Tahoma"/>
        <family val="2"/>
      </rPr>
      <t>Diesel Oil</t>
    </r>
  </si>
  <si>
    <r>
      <t xml:space="preserve">Óleo Ultraviscoso / </t>
    </r>
    <r>
      <rPr>
        <i/>
        <sz val="10"/>
        <rFont val="Tahoma"/>
        <family val="2"/>
      </rPr>
      <t>Viscous Oil</t>
    </r>
  </si>
  <si>
    <r>
      <t xml:space="preserve">Efluente Gasoso² / </t>
    </r>
    <r>
      <rPr>
        <i/>
        <sz val="10"/>
        <rFont val="Tahoma"/>
        <family val="2"/>
      </rPr>
      <t>Gaseous Effluent²</t>
    </r>
  </si>
  <si>
    <r>
      <t xml:space="preserve">Enxofre / </t>
    </r>
    <r>
      <rPr>
        <i/>
        <sz val="10"/>
        <rFont val="Tahoma"/>
        <family val="2"/>
      </rPr>
      <t>Sulfur</t>
    </r>
  </si>
  <si>
    <r>
      <t>Gás de Alto Forno /</t>
    </r>
    <r>
      <rPr>
        <i/>
        <sz val="10"/>
        <rFont val="Tahoma"/>
        <family val="2"/>
      </rPr>
      <t xml:space="preserve"> Blast Furnace Gas</t>
    </r>
  </si>
  <si>
    <r>
      <t xml:space="preserve">Gás de Processo / </t>
    </r>
    <r>
      <rPr>
        <i/>
        <sz val="10"/>
        <rFont val="Tahoma"/>
        <family val="2"/>
      </rPr>
      <t>Process Gas</t>
    </r>
  </si>
  <si>
    <r>
      <t xml:space="preserve">Gás Siderúrgico / </t>
    </r>
    <r>
      <rPr>
        <i/>
        <sz val="10"/>
        <rFont val="Tahoma"/>
        <family val="2"/>
      </rPr>
      <t>Steel Gas</t>
    </r>
  </si>
  <si>
    <r>
      <t>Usinas em Operação / Power P</t>
    </r>
    <r>
      <rPr>
        <b/>
        <i/>
        <sz val="10"/>
        <rFont val="Tahoma"/>
        <family val="2"/>
      </rPr>
      <t>lants in Operation</t>
    </r>
  </si>
  <si>
    <r>
      <t xml:space="preserve">UHE / </t>
    </r>
    <r>
      <rPr>
        <b/>
        <i/>
        <sz val="10"/>
        <rFont val="Tahoma"/>
        <family val="2"/>
      </rPr>
      <t>Hydropower Plants</t>
    </r>
    <r>
      <rPr>
        <b/>
        <sz val="10"/>
        <rFont val="Tahoma"/>
        <family val="2"/>
      </rPr>
      <t xml:space="preserve"> (&gt;30 MW)</t>
    </r>
  </si>
  <si>
    <r>
      <t>PCH /</t>
    </r>
    <r>
      <rPr>
        <b/>
        <i/>
        <sz val="10"/>
        <rFont val="Tahoma"/>
        <family val="2"/>
      </rPr>
      <t xml:space="preserve"> Hydropower Plants</t>
    </r>
  </si>
  <si>
    <r>
      <t xml:space="preserve">CGH / </t>
    </r>
    <r>
      <rPr>
        <b/>
        <i/>
        <sz val="10"/>
        <rFont val="Tahoma"/>
        <family val="2"/>
      </rPr>
      <t>Hydropower Plants</t>
    </r>
    <r>
      <rPr>
        <b/>
        <sz val="10"/>
        <rFont val="Tahoma"/>
        <family val="2"/>
      </rPr>
      <t xml:space="preserve"> (&lt;5 MW)</t>
    </r>
  </si>
  <si>
    <r>
      <t xml:space="preserve">UTE / </t>
    </r>
    <r>
      <rPr>
        <b/>
        <i/>
        <sz val="10"/>
        <rFont val="Tahoma"/>
        <family val="2"/>
      </rPr>
      <t>Thermal Power Plants</t>
    </r>
  </si>
  <si>
    <r>
      <t xml:space="preserve">EOL / </t>
    </r>
    <r>
      <rPr>
        <b/>
        <i/>
        <sz val="10"/>
        <rFont val="Tahoma"/>
        <family val="2"/>
      </rPr>
      <t>Wind</t>
    </r>
    <r>
      <rPr>
        <b/>
        <sz val="10"/>
        <rFont val="Tahoma"/>
        <family val="2"/>
      </rPr>
      <t xml:space="preserve"> Power Plants</t>
    </r>
  </si>
  <si>
    <r>
      <t xml:space="preserve">SOL / </t>
    </r>
    <r>
      <rPr>
        <b/>
        <i/>
        <sz val="10"/>
        <rFont val="Tahoma"/>
        <family val="2"/>
      </rPr>
      <t>Solar</t>
    </r>
    <r>
      <rPr>
        <b/>
        <sz val="10"/>
        <rFont val="Tahoma"/>
        <family val="2"/>
      </rPr>
      <t xml:space="preserve"> Power Plants</t>
    </r>
  </si>
  <si>
    <r>
      <t xml:space="preserve">Licor Preto / </t>
    </r>
    <r>
      <rPr>
        <i/>
        <sz val="10"/>
        <rFont val="Tahoma"/>
        <family val="2"/>
      </rPr>
      <t>Black-Liquor</t>
    </r>
  </si>
  <si>
    <r>
      <t xml:space="preserve">Fóssil / </t>
    </r>
    <r>
      <rPr>
        <b/>
        <i/>
        <sz val="10"/>
        <rFont val="Tahoma"/>
        <family val="2"/>
      </rPr>
      <t>Fossil</t>
    </r>
  </si>
  <si>
    <r>
      <t xml:space="preserve">Efluentes Industriais / </t>
    </r>
    <r>
      <rPr>
        <b/>
        <i/>
        <sz val="10"/>
        <rFont val="Tahoma"/>
        <family val="2"/>
      </rPr>
      <t>Industrial Effluent</t>
    </r>
  </si>
  <si>
    <r>
      <t xml:space="preserve">UTN / </t>
    </r>
    <r>
      <rPr>
        <b/>
        <i/>
        <sz val="10"/>
        <rFont val="Tahoma"/>
        <family val="2"/>
      </rPr>
      <t>Nuclear</t>
    </r>
  </si>
  <si>
    <t>UTE / Thermal Power Plants</t>
  </si>
  <si>
    <r>
      <t xml:space="preserve">Efluentes Industriais / </t>
    </r>
    <r>
      <rPr>
        <i/>
        <sz val="10"/>
        <rFont val="Tahoma"/>
        <family val="2"/>
      </rPr>
      <t>Industrial Effluent</t>
    </r>
  </si>
  <si>
    <t>Fontes Desconhecidas / Unknown Sources</t>
  </si>
  <si>
    <t>Tabela I.2</t>
  </si>
  <si>
    <t>Capacidade Instalada de Geração Elétrica</t>
  </si>
  <si>
    <t>Electricity Generation Installed Capacity</t>
  </si>
  <si>
    <t>Itaipu Installed Capacity</t>
  </si>
  <si>
    <t>Oil Refining Installed Capacity</t>
  </si>
  <si>
    <t>m³/dia (m³/day)</t>
  </si>
  <si>
    <t>Tabela I.3</t>
  </si>
  <si>
    <r>
      <t xml:space="preserve">1 </t>
    </r>
    <r>
      <rPr>
        <i/>
        <sz val="9"/>
        <color rgb="FF808080"/>
        <rFont val="Tahoma"/>
        <family val="2"/>
      </rPr>
      <t>The refinery RNEST started operation on  6 december of 2014,  Autorized by ANP (operation) nº 506/2014</t>
    </r>
  </si>
  <si>
    <t>Fonte: Agência Nacional do Petróleo, Gás e Biocombustíveis (ANP)</t>
  </si>
  <si>
    <t>Biodiesel Production Installed Capacity</t>
  </si>
  <si>
    <t>Tabela I.4</t>
  </si>
  <si>
    <t>Tabela I.2.1</t>
  </si>
  <si>
    <t>Capacidade Instalada de Mini e Micro Geração Distribuída (MMGD)</t>
  </si>
  <si>
    <t>Installed Capacity of Mini and Micro Distributed Generation (MMGD)</t>
  </si>
  <si>
    <t>TABELA I.1 - Capacidade Instalada de Geração Elétrica</t>
  </si>
  <si>
    <t>TABLE I.1 - Electricity Generation Installed Capacity</t>
  </si>
  <si>
    <t>TABELA I.1.1 - Capacidade Instalada de Itaipu</t>
  </si>
  <si>
    <t>TABLE I.1.1 - Itaipu Installed Capacity</t>
  </si>
  <si>
    <t>TABELA I.2 - Capacidade Instalada de Geração Elétrica</t>
  </si>
  <si>
    <t>TABLE I.2 - Electricity Generation Installed Capacity</t>
  </si>
  <si>
    <t>TABELA I.2.1 - Capacidade Instalada de Mini e Micro Geração Distribuída (MMGD)</t>
  </si>
  <si>
    <t>TABLE I.2.1 - Installed Capacity of Mini and Micro Distributed Generation (MMGD)</t>
  </si>
  <si>
    <t>TABELA I.3 - Capacidade Instalada de Refino de Petróleo</t>
  </si>
  <si>
    <t>TABLE I.3 - Oil Refining Installed Capacity</t>
  </si>
  <si>
    <t>TABLE I.4 - Capacidade Instalada de Produção de Biodiesel</t>
  </si>
  <si>
    <t>TABLE I.3 - Biodiesel Production Installed Capacity</t>
  </si>
  <si>
    <t>ANEXO I</t>
  </si>
  <si>
    <r>
      <t>HIDRO</t>
    </r>
    <r>
      <rPr>
        <b/>
        <vertAlign val="superscript"/>
        <sz val="8"/>
        <rFont val="Tahoma"/>
        <family val="2"/>
      </rPr>
      <t>1</t>
    </r>
  </si>
  <si>
    <r>
      <t>SOLAR</t>
    </r>
    <r>
      <rPr>
        <b/>
        <vertAlign val="superscript"/>
        <sz val="8"/>
        <rFont val="Tahoma"/>
        <family val="2"/>
      </rPr>
      <t>4</t>
    </r>
  </si>
  <si>
    <r>
      <t>SOLAR</t>
    </r>
    <r>
      <rPr>
        <b/>
        <i/>
        <vertAlign val="superscript"/>
        <sz val="8"/>
        <color indexed="23"/>
        <rFont val="Tahoma"/>
        <family val="2"/>
      </rPr>
      <t>4</t>
    </r>
  </si>
  <si>
    <r>
      <t>1</t>
    </r>
    <r>
      <rPr>
        <sz val="8"/>
        <rFont val="Tahoma"/>
        <family val="2"/>
      </rPr>
      <t xml:space="preserve"> Inclui metade da Usina de Itaipu</t>
    </r>
  </si>
  <si>
    <r>
      <t>1</t>
    </r>
    <r>
      <rPr>
        <i/>
        <sz val="8"/>
        <color indexed="23"/>
        <rFont val="Tahoma"/>
        <family val="2"/>
      </rPr>
      <t xml:space="preserve"> Includes half of Itaipu Power Plant</t>
    </r>
  </si>
  <si>
    <r>
      <t>2</t>
    </r>
    <r>
      <rPr>
        <sz val="8"/>
        <rFont val="Tahoma"/>
        <family val="2"/>
      </rPr>
      <t xml:space="preserve"> Usinas PIE e SP, com partes de APE, estão classificadas como SP / PIE</t>
    </r>
  </si>
  <si>
    <r>
      <t xml:space="preserve">2 </t>
    </r>
    <r>
      <rPr>
        <i/>
        <sz val="8"/>
        <color indexed="23"/>
        <rFont val="Tahoma"/>
        <family val="2"/>
      </rPr>
      <t>Plants PIE and SP, with shares of APE, are classified as SP / PIE.</t>
    </r>
  </si>
  <si>
    <r>
      <t>3</t>
    </r>
    <r>
      <rPr>
        <sz val="8"/>
        <rFont val="Tahoma"/>
        <family val="2"/>
      </rPr>
      <t xml:space="preserve"> Plantas PIE, tradicionalmente APE, estão classificadas em APE.</t>
    </r>
  </si>
  <si>
    <r>
      <t xml:space="preserve">3 </t>
    </r>
    <r>
      <rPr>
        <i/>
        <sz val="8"/>
        <color indexed="23"/>
        <rFont val="Tahoma"/>
        <family val="2"/>
      </rPr>
      <t>Plants PIE, traditionally APE, are classified as APE.</t>
    </r>
  </si>
  <si>
    <r>
      <t xml:space="preserve">4 </t>
    </r>
    <r>
      <rPr>
        <sz val="8"/>
        <rFont val="Tahoma"/>
        <family val="2"/>
      </rPr>
      <t>Solar Fotovoltaica</t>
    </r>
  </si>
  <si>
    <r>
      <t xml:space="preserve">4 </t>
    </r>
    <r>
      <rPr>
        <i/>
        <sz val="8"/>
        <color indexed="23"/>
        <rFont val="Tahoma"/>
        <family val="2"/>
      </rPr>
      <t xml:space="preserve">Photovoltaic </t>
    </r>
  </si>
  <si>
    <t>1991/2006</t>
  </si>
  <si>
    <t>2007/2025</t>
  </si>
  <si>
    <t>2019</t>
  </si>
  <si>
    <t>2020</t>
  </si>
  <si>
    <t>2021</t>
  </si>
  <si>
    <t>2022</t>
  </si>
  <si>
    <t>2023</t>
  </si>
  <si>
    <t>2024</t>
  </si>
  <si>
    <t>2025</t>
  </si>
  <si>
    <t>2016</t>
  </si>
  <si>
    <t>2017</t>
  </si>
  <si>
    <t>2018</t>
  </si>
  <si>
    <t xml:space="preserve"> 20141</t>
  </si>
  <si>
    <t xml:space="preserve">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</si>
</sst>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-* #,##0.00000_-;\-* #,##0.00000_-;_-* &quot;-&quot;??_-;_-@_-"/>
  </numFmts>
  <fonts count="39" x14ac:knownFonts="1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b/>
      <vertAlign val="superscript"/>
      <sz val="9"/>
      <name val="Tahoma"/>
      <family val="2"/>
    </font>
    <font>
      <sz val="10"/>
      <name val="Arial"/>
      <family val="2"/>
    </font>
    <font>
      <i/>
      <sz val="9"/>
      <color indexed="23"/>
      <name val="Tahoma"/>
      <family val="2"/>
    </font>
    <font>
      <sz val="8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i/>
      <sz val="10"/>
      <color indexed="23"/>
      <name val="Tahoma"/>
      <family val="2"/>
    </font>
    <font>
      <i/>
      <sz val="10"/>
      <name val="Tahoma"/>
      <family val="2"/>
    </font>
    <font>
      <i/>
      <sz val="10"/>
      <color rgb="FF808080"/>
      <name val="Tahoma"/>
      <family val="2"/>
    </font>
    <font>
      <sz val="10"/>
      <color rgb="FF808080"/>
      <name val="Tahoma"/>
      <family val="2"/>
    </font>
    <font>
      <b/>
      <i/>
      <sz val="10"/>
      <name val="Tahoma"/>
      <family val="2"/>
    </font>
    <font>
      <b/>
      <sz val="10"/>
      <color theme="1"/>
      <name val="Tahoma"/>
      <family val="2"/>
    </font>
    <font>
      <i/>
      <vertAlign val="superscript"/>
      <sz val="9"/>
      <color rgb="FF808080"/>
      <name val="Tahoma"/>
      <family val="2"/>
    </font>
    <font>
      <i/>
      <sz val="9"/>
      <color rgb="FF808080"/>
      <name val="Tahoma"/>
      <family val="2"/>
    </font>
    <font>
      <i/>
      <sz val="12"/>
      <color indexed="23"/>
      <name val="Tahoma"/>
      <family val="2"/>
    </font>
    <font>
      <b/>
      <sz val="12"/>
      <name val="Tahoma"/>
      <family val="2"/>
    </font>
    <font>
      <i/>
      <sz val="10"/>
      <color indexed="23"/>
      <name val="Tahoma"/>
      <family val="2"/>
    </font>
    <font>
      <sz val="10"/>
      <color rgb="FF0070C0"/>
      <name val="Tahoma"/>
      <family val="2"/>
    </font>
    <font>
      <b/>
      <sz val="8"/>
      <name val="Tahoma"/>
      <family val="2"/>
    </font>
    <font>
      <b/>
      <vertAlign val="superscript"/>
      <sz val="8"/>
      <name val="Tahoma"/>
      <family val="2"/>
    </font>
    <font>
      <sz val="8"/>
      <name val="Tahoma"/>
      <family val="2"/>
    </font>
    <font>
      <b/>
      <i/>
      <sz val="8"/>
      <color indexed="23"/>
      <name val="Tahoma"/>
      <family val="2"/>
    </font>
    <font>
      <b/>
      <i/>
      <vertAlign val="superscript"/>
      <sz val="8"/>
      <color indexed="23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i/>
      <sz val="8"/>
      <color indexed="23"/>
      <name val="Tahoma"/>
      <family val="2"/>
    </font>
    <font>
      <vertAlign val="superscript"/>
      <sz val="8"/>
      <name val="Tahoma"/>
      <family val="2"/>
    </font>
    <font>
      <i/>
      <vertAlign val="superscript"/>
      <sz val="8"/>
      <color indexed="23"/>
      <name val="Tahoma"/>
      <family val="2"/>
    </font>
    <font>
      <i/>
      <vertAlign val="superscript"/>
      <sz val="8"/>
      <color rgb="FF80808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14" fillId="0" borderId="0"/>
    <xf numFmtId="0" fontId="1" fillId="0" borderId="0">
      <alignment vertical="top"/>
    </xf>
    <xf numFmtId="0" fontId="10" fillId="0" borderId="0">
      <alignment vertical="top"/>
    </xf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6">
    <xf numFmtId="0" fontId="0" fillId="0" borderId="0" xfId="0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 applyAlignment="1" applyProtection="1">
      <alignment vertical="center"/>
    </xf>
    <xf numFmtId="0" fontId="5" fillId="0" borderId="0" xfId="1" applyFont="1" applyAlignment="1" applyProtection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3" fontId="6" fillId="0" borderId="0" xfId="0" applyNumberFormat="1" applyFont="1">
      <alignment vertical="center"/>
    </xf>
    <xf numFmtId="1" fontId="6" fillId="0" borderId="0" xfId="0" applyNumberFormat="1" applyFont="1">
      <alignment vertical="center"/>
    </xf>
    <xf numFmtId="0" fontId="6" fillId="0" borderId="3" xfId="0" applyFont="1" applyBorder="1" applyAlignment="1">
      <alignment horizontal="center" vertical="center"/>
    </xf>
    <xf numFmtId="3" fontId="6" fillId="0" borderId="3" xfId="0" applyNumberFormat="1" applyFont="1" applyBorder="1">
      <alignment vertical="center"/>
    </xf>
    <xf numFmtId="0" fontId="6" fillId="0" borderId="0" xfId="4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6" fillId="0" borderId="4" xfId="4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4" fillId="0" borderId="0" xfId="4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3" fillId="0" borderId="0" xfId="0" applyNumberFormat="1" applyFont="1">
      <alignment vertical="center"/>
    </xf>
    <xf numFmtId="3" fontId="3" fillId="0" borderId="0" xfId="0" applyNumberFormat="1" applyFont="1" applyAlignment="1">
      <alignment horizontal="center" vertical="center"/>
    </xf>
    <xf numFmtId="0" fontId="11" fillId="0" borderId="0" xfId="2" applyFont="1">
      <alignment vertical="center"/>
    </xf>
    <xf numFmtId="3" fontId="3" fillId="0" borderId="0" xfId="2" applyNumberFormat="1" applyFont="1">
      <alignment vertical="center"/>
    </xf>
    <xf numFmtId="0" fontId="6" fillId="0" borderId="0" xfId="2" applyFont="1">
      <alignment vertical="center"/>
    </xf>
    <xf numFmtId="0" fontId="7" fillId="0" borderId="0" xfId="2" applyFont="1" applyAlignment="1">
      <alignment horizontal="center" vertical="center"/>
    </xf>
    <xf numFmtId="0" fontId="7" fillId="0" borderId="2" xfId="0" applyFont="1" applyBorder="1">
      <alignment vertical="center"/>
    </xf>
    <xf numFmtId="3" fontId="3" fillId="0" borderId="2" xfId="0" applyNumberFormat="1" applyFont="1" applyBorder="1">
      <alignment vertical="center"/>
    </xf>
    <xf numFmtId="0" fontId="6" fillId="2" borderId="0" xfId="0" applyFont="1" applyFill="1" applyAlignment="1">
      <alignment horizontal="left" indent="4"/>
    </xf>
    <xf numFmtId="0" fontId="6" fillId="0" borderId="0" xfId="0" applyFont="1" applyAlignment="1">
      <alignment horizontal="left"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3" fontId="3" fillId="0" borderId="0" xfId="2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6" fillId="0" borderId="0" xfId="2" applyFont="1" applyAlignment="1"/>
    <xf numFmtId="0" fontId="4" fillId="0" borderId="3" xfId="2" applyFont="1" applyBorder="1" applyAlignment="1">
      <alignment horizontal="center" vertical="center"/>
    </xf>
    <xf numFmtId="3" fontId="3" fillId="0" borderId="3" xfId="2" applyNumberFormat="1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4" xfId="0" applyFont="1" applyBorder="1">
      <alignment vertical="center"/>
    </xf>
    <xf numFmtId="49" fontId="4" fillId="0" borderId="4" xfId="6" applyNumberFormat="1" applyFont="1" applyFill="1" applyBorder="1" applyAlignment="1">
      <alignment horizontal="right" vertical="center"/>
    </xf>
    <xf numFmtId="0" fontId="4" fillId="0" borderId="8" xfId="0" applyFont="1" applyBorder="1" applyAlignment="1">
      <alignment horizontal="left" indent="1"/>
    </xf>
    <xf numFmtId="0" fontId="3" fillId="0" borderId="8" xfId="0" applyFont="1" applyBorder="1" applyAlignment="1">
      <alignment horizontal="left" indent="3"/>
    </xf>
    <xf numFmtId="0" fontId="4" fillId="0" borderId="8" xfId="0" applyFont="1" applyBorder="1" applyAlignment="1">
      <alignment horizontal="left" indent="3"/>
    </xf>
    <xf numFmtId="0" fontId="3" fillId="0" borderId="8" xfId="0" applyFont="1" applyBorder="1" applyAlignment="1">
      <alignment horizontal="left" indent="4"/>
    </xf>
    <xf numFmtId="0" fontId="20" fillId="0" borderId="8" xfId="0" applyFont="1" applyBorder="1" applyAlignment="1">
      <alignment horizontal="left" indent="1"/>
    </xf>
    <xf numFmtId="0" fontId="4" fillId="0" borderId="5" xfId="0" applyFont="1" applyBorder="1" applyAlignment="1"/>
    <xf numFmtId="0" fontId="4" fillId="0" borderId="4" xfId="0" applyFont="1" applyBorder="1" applyAlignment="1">
      <alignment horizontal="left" indent="1"/>
    </xf>
    <xf numFmtId="0" fontId="3" fillId="0" borderId="6" xfId="0" applyFont="1" applyBorder="1" applyAlignment="1">
      <alignment horizontal="left" indent="4"/>
    </xf>
    <xf numFmtId="0" fontId="3" fillId="0" borderId="2" xfId="0" applyFont="1" applyBorder="1" applyAlignment="1">
      <alignment horizontal="left" indent="4"/>
    </xf>
    <xf numFmtId="0" fontId="3" fillId="0" borderId="0" xfId="0" applyFont="1" applyAlignment="1"/>
    <xf numFmtId="0" fontId="4" fillId="0" borderId="3" xfId="0" applyFont="1" applyBorder="1" applyAlignment="1">
      <alignment horizontal="left" indent="1"/>
    </xf>
    <xf numFmtId="0" fontId="4" fillId="0" borderId="0" xfId="0" applyFont="1" applyAlignment="1"/>
    <xf numFmtId="166" fontId="4" fillId="0" borderId="6" xfId="6" applyNumberFormat="1" applyFont="1" applyFill="1" applyBorder="1" applyAlignment="1">
      <alignment horizontal="right" vertical="center"/>
    </xf>
    <xf numFmtId="166" fontId="4" fillId="0" borderId="8" xfId="6" applyNumberFormat="1" applyFont="1" applyFill="1" applyBorder="1" applyAlignment="1">
      <alignment horizontal="right" vertical="center"/>
    </xf>
    <xf numFmtId="166" fontId="4" fillId="0" borderId="2" xfId="6" applyNumberFormat="1" applyFont="1" applyFill="1" applyBorder="1" applyAlignment="1">
      <alignment horizontal="right" vertical="center"/>
    </xf>
    <xf numFmtId="166" fontId="4" fillId="0" borderId="4" xfId="6" applyNumberFormat="1" applyFont="1" applyFill="1" applyBorder="1" applyAlignment="1">
      <alignment horizontal="right" vertical="center"/>
    </xf>
    <xf numFmtId="166" fontId="20" fillId="0" borderId="5" xfId="6" applyNumberFormat="1" applyFont="1" applyFill="1" applyBorder="1" applyAlignment="1">
      <alignment horizontal="right" vertical="center"/>
    </xf>
    <xf numFmtId="166" fontId="3" fillId="0" borderId="8" xfId="6" applyNumberFormat="1" applyFont="1" applyFill="1" applyBorder="1" applyAlignment="1">
      <alignment horizontal="right" vertical="center"/>
    </xf>
    <xf numFmtId="166" fontId="20" fillId="0" borderId="8" xfId="6" applyNumberFormat="1" applyFont="1" applyFill="1" applyBorder="1" applyAlignment="1">
      <alignment horizontal="right" vertical="center"/>
    </xf>
    <xf numFmtId="166" fontId="3" fillId="0" borderId="2" xfId="6" applyNumberFormat="1" applyFont="1" applyFill="1" applyBorder="1" applyAlignment="1">
      <alignment horizontal="right" vertical="center"/>
    </xf>
    <xf numFmtId="166" fontId="3" fillId="0" borderId="3" xfId="6" applyNumberFormat="1" applyFont="1" applyFill="1" applyBorder="1" applyAlignment="1">
      <alignment horizontal="right" vertical="center"/>
    </xf>
    <xf numFmtId="166" fontId="4" fillId="0" borderId="3" xfId="6" applyNumberFormat="1" applyFont="1" applyFill="1" applyBorder="1" applyAlignment="1">
      <alignment horizontal="right" vertical="center"/>
    </xf>
    <xf numFmtId="164" fontId="3" fillId="0" borderId="0" xfId="6" applyFont="1" applyFill="1" applyBorder="1" applyAlignment="1">
      <alignment horizontal="right" vertical="center"/>
    </xf>
    <xf numFmtId="166" fontId="3" fillId="0" borderId="5" xfId="6" applyNumberFormat="1" applyFont="1" applyFill="1" applyBorder="1" applyAlignment="1">
      <alignment horizontal="right" vertical="center"/>
    </xf>
    <xf numFmtId="166" fontId="3" fillId="0" borderId="6" xfId="6" applyNumberFormat="1" applyFont="1" applyFill="1" applyBorder="1" applyAlignment="1">
      <alignment horizontal="right" vertical="center"/>
    </xf>
    <xf numFmtId="166" fontId="3" fillId="0" borderId="4" xfId="6" applyNumberFormat="1" applyFont="1" applyFill="1" applyBorder="1" applyAlignment="1">
      <alignment horizontal="right" vertical="center"/>
    </xf>
    <xf numFmtId="166" fontId="4" fillId="0" borderId="5" xfId="6" applyNumberFormat="1" applyFont="1" applyFill="1" applyBorder="1" applyAlignment="1">
      <alignment horizontal="right" vertical="center"/>
    </xf>
    <xf numFmtId="165" fontId="3" fillId="0" borderId="8" xfId="7" applyNumberFormat="1" applyFont="1" applyFill="1" applyBorder="1" applyAlignment="1">
      <alignment horizontal="right" vertical="center"/>
    </xf>
    <xf numFmtId="165" fontId="4" fillId="0" borderId="8" xfId="7" applyNumberFormat="1" applyFont="1" applyFill="1" applyBorder="1" applyAlignment="1">
      <alignment horizontal="right" vertical="center"/>
    </xf>
    <xf numFmtId="0" fontId="4" fillId="0" borderId="4" xfId="5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3" fontId="3" fillId="0" borderId="0" xfId="6" applyNumberFormat="1" applyFont="1" applyFill="1" applyBorder="1" applyAlignment="1">
      <alignment horizontal="center" vertical="center"/>
    </xf>
    <xf numFmtId="0" fontId="21" fillId="0" borderId="0" xfId="5" applyFont="1" applyAlignment="1">
      <alignment horizontal="left" vertical="center"/>
    </xf>
    <xf numFmtId="0" fontId="22" fillId="0" borderId="0" xfId="2" applyFont="1">
      <alignment vertical="center"/>
    </xf>
    <xf numFmtId="3" fontId="22" fillId="0" borderId="0" xfId="2" applyNumberFormat="1" applyFont="1">
      <alignment vertical="center"/>
    </xf>
    <xf numFmtId="164" fontId="18" fillId="0" borderId="0" xfId="6" applyFont="1" applyFill="1" applyBorder="1" applyAlignment="1">
      <alignment vertical="center"/>
    </xf>
    <xf numFmtId="0" fontId="3" fillId="0" borderId="0" xfId="2" applyFont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49" fontId="4" fillId="0" borderId="3" xfId="2" applyNumberFormat="1" applyFont="1" applyBorder="1" applyAlignment="1">
      <alignment horizontal="center" vertical="center"/>
    </xf>
    <xf numFmtId="0" fontId="6" fillId="0" borderId="0" xfId="2" applyFont="1" applyAlignment="1">
      <alignment horizontal="left"/>
    </xf>
    <xf numFmtId="3" fontId="3" fillId="0" borderId="0" xfId="6" applyNumberFormat="1" applyFont="1" applyAlignment="1">
      <alignment horizontal="center"/>
    </xf>
    <xf numFmtId="3" fontId="3" fillId="0" borderId="0" xfId="8" applyNumberFormat="1" applyFont="1" applyBorder="1" applyAlignment="1">
      <alignment horizontal="center"/>
    </xf>
    <xf numFmtId="3" fontId="3" fillId="0" borderId="3" xfId="8" applyNumberFormat="1" applyFont="1" applyBorder="1" applyAlignment="1">
      <alignment horizontal="center"/>
    </xf>
    <xf numFmtId="0" fontId="3" fillId="0" borderId="0" xfId="2" applyFont="1" applyAlignment="1"/>
    <xf numFmtId="0" fontId="23" fillId="0" borderId="3" xfId="2" applyFont="1" applyBorder="1">
      <alignment vertical="center"/>
    </xf>
    <xf numFmtId="0" fontId="3" fillId="0" borderId="3" xfId="2" applyFont="1" applyBorder="1" applyAlignment="1"/>
    <xf numFmtId="0" fontId="3" fillId="0" borderId="0" xfId="2" applyFont="1" applyAlignment="1">
      <alignment horizontal="center"/>
    </xf>
    <xf numFmtId="165" fontId="3" fillId="0" borderId="0" xfId="6" applyNumberFormat="1" applyFont="1" applyAlignment="1"/>
    <xf numFmtId="3" fontId="3" fillId="0" borderId="0" xfId="2" applyNumberFormat="1" applyFont="1" applyAlignment="1"/>
    <xf numFmtId="0" fontId="16" fillId="0" borderId="0" xfId="2" applyFont="1" applyAlignment="1"/>
    <xf numFmtId="0" fontId="24" fillId="0" borderId="0" xfId="2" applyFont="1" applyAlignment="1"/>
    <xf numFmtId="0" fontId="4" fillId="0" borderId="0" xfId="2" applyFont="1" applyAlignment="1">
      <alignment horizontal="center"/>
    </xf>
    <xf numFmtId="0" fontId="3" fillId="0" borderId="0" xfId="2" applyFont="1" applyAlignment="1">
      <alignment horizontal="right" vertical="center"/>
    </xf>
    <xf numFmtId="0" fontId="16" fillId="0" borderId="0" xfId="2" applyFont="1" applyAlignment="1">
      <alignment horizontal="right" vertical="center"/>
    </xf>
    <xf numFmtId="0" fontId="4" fillId="0" borderId="0" xfId="2" applyFont="1" applyAlignment="1">
      <alignment horizontal="right" vertical="center"/>
    </xf>
    <xf numFmtId="0" fontId="16" fillId="0" borderId="1" xfId="2" applyFont="1" applyBorder="1" applyAlignment="1">
      <alignment horizontal="right" vertical="center"/>
    </xf>
    <xf numFmtId="166" fontId="25" fillId="0" borderId="0" xfId="2" applyNumberFormat="1" applyFont="1" applyAlignment="1">
      <alignment horizontal="right" vertical="center"/>
    </xf>
    <xf numFmtId="167" fontId="25" fillId="0" borderId="0" xfId="2" applyNumberFormat="1" applyFont="1" applyAlignment="1">
      <alignment horizontal="right" vertical="center"/>
    </xf>
    <xf numFmtId="0" fontId="15" fillId="0" borderId="0" xfId="5" applyFont="1" applyAlignment="1">
      <alignment horizontal="left" vertical="center"/>
    </xf>
    <xf numFmtId="0" fontId="25" fillId="0" borderId="0" xfId="2" applyFont="1" applyAlignment="1">
      <alignment horizontal="right" vertical="center"/>
    </xf>
    <xf numFmtId="0" fontId="26" fillId="0" borderId="0" xfId="2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5" fontId="3" fillId="0" borderId="0" xfId="2" applyNumberFormat="1" applyFont="1" applyAlignment="1"/>
    <xf numFmtId="3" fontId="3" fillId="0" borderId="0" xfId="6" applyNumberFormat="1" applyFont="1" applyBorder="1" applyAlignment="1">
      <alignment horizontal="center"/>
    </xf>
    <xf numFmtId="3" fontId="3" fillId="0" borderId="3" xfId="6" applyNumberFormat="1" applyFont="1" applyBorder="1" applyAlignment="1">
      <alignment horizontal="center"/>
    </xf>
    <xf numFmtId="164" fontId="3" fillId="0" borderId="0" xfId="6" applyFont="1" applyAlignment="1"/>
    <xf numFmtId="164" fontId="18" fillId="0" borderId="0" xfId="6" applyFont="1" applyFill="1" applyBorder="1" applyAlignment="1"/>
    <xf numFmtId="0" fontId="18" fillId="0" borderId="0" xfId="2" applyFont="1" applyAlignment="1"/>
    <xf numFmtId="1" fontId="18" fillId="0" borderId="0" xfId="2" applyNumberFormat="1" applyFont="1" applyAlignment="1"/>
    <xf numFmtId="0" fontId="5" fillId="0" borderId="0" xfId="1" applyFont="1" applyAlignment="1" applyProtection="1"/>
    <xf numFmtId="0" fontId="3" fillId="0" borderId="0" xfId="2" applyFont="1" applyAlignment="1">
      <alignment wrapText="1"/>
    </xf>
    <xf numFmtId="3" fontId="3" fillId="0" borderId="0" xfId="0" applyNumberFormat="1" applyFont="1" applyAlignment="1"/>
    <xf numFmtId="0" fontId="4" fillId="0" borderId="7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20" fillId="0" borderId="7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0" xfId="2" applyFont="1" applyAlignment="1"/>
    <xf numFmtId="0" fontId="25" fillId="0" borderId="3" xfId="2" applyFont="1" applyBorder="1">
      <alignment vertical="center"/>
    </xf>
    <xf numFmtId="0" fontId="27" fillId="0" borderId="0" xfId="2" applyFont="1">
      <alignment vertical="center"/>
    </xf>
    <xf numFmtId="0" fontId="27" fillId="0" borderId="1" xfId="2" applyFont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29" fillId="0" borderId="0" xfId="2" applyFont="1" applyAlignment="1"/>
    <xf numFmtId="0" fontId="30" fillId="0" borderId="6" xfId="2" applyFont="1" applyBorder="1" applyAlignment="1">
      <alignment horizontal="center" vertical="center"/>
    </xf>
    <xf numFmtId="0" fontId="30" fillId="0" borderId="6" xfId="2" applyFont="1" applyBorder="1" applyAlignment="1">
      <alignment horizontal="center" vertical="center"/>
    </xf>
    <xf numFmtId="0" fontId="27" fillId="0" borderId="3" xfId="2" applyFont="1" applyBorder="1">
      <alignment vertical="center"/>
    </xf>
    <xf numFmtId="0" fontId="29" fillId="0" borderId="3" xfId="2" applyFont="1" applyBorder="1" applyAlignment="1">
      <alignment horizontal="center" vertical="center"/>
    </xf>
    <xf numFmtId="0" fontId="29" fillId="0" borderId="0" xfId="2" applyFont="1">
      <alignment vertical="center"/>
    </xf>
    <xf numFmtId="3" fontId="29" fillId="0" borderId="0" xfId="2" applyNumberFormat="1" applyFont="1" applyAlignment="1">
      <alignment horizontal="center" vertical="center"/>
    </xf>
    <xf numFmtId="1" fontId="27" fillId="0" borderId="0" xfId="2" applyNumberFormat="1" applyFont="1">
      <alignment vertical="center"/>
    </xf>
    <xf numFmtId="165" fontId="29" fillId="0" borderId="0" xfId="6" applyNumberFormat="1" applyFont="1" applyAlignment="1"/>
    <xf numFmtId="3" fontId="29" fillId="0" borderId="0" xfId="2" applyNumberFormat="1" applyFont="1">
      <alignment vertical="center"/>
    </xf>
    <xf numFmtId="3" fontId="29" fillId="0" borderId="0" xfId="2" applyNumberFormat="1" applyFont="1" applyAlignment="1"/>
    <xf numFmtId="165" fontId="32" fillId="0" borderId="0" xfId="6" applyNumberFormat="1" applyFont="1" applyAlignment="1"/>
    <xf numFmtId="0" fontId="33" fillId="0" borderId="3" xfId="2" applyFont="1" applyBorder="1">
      <alignment vertical="center"/>
    </xf>
    <xf numFmtId="3" fontId="34" fillId="0" borderId="3" xfId="2" applyNumberFormat="1" applyFont="1" applyBorder="1" applyAlignment="1">
      <alignment horizontal="center" vertical="center"/>
    </xf>
    <xf numFmtId="0" fontId="35" fillId="0" borderId="0" xfId="5" applyFont="1" applyAlignment="1">
      <alignment horizontal="left" vertical="center"/>
    </xf>
    <xf numFmtId="0" fontId="35" fillId="0" borderId="0" xfId="2" applyFont="1">
      <alignment vertical="center"/>
    </xf>
    <xf numFmtId="0" fontId="36" fillId="0" borderId="0" xfId="5" applyFont="1" applyAlignment="1">
      <alignment horizontal="left" vertical="center"/>
    </xf>
    <xf numFmtId="1" fontId="29" fillId="0" borderId="0" xfId="2" applyNumberFormat="1" applyFont="1" applyAlignment="1"/>
    <xf numFmtId="0" fontId="37" fillId="0" borderId="0" xfId="5" applyFont="1" applyAlignment="1">
      <alignment horizontal="left" vertical="center"/>
    </xf>
    <xf numFmtId="3" fontId="35" fillId="0" borderId="0" xfId="2" applyNumberFormat="1" applyFont="1">
      <alignment vertical="center"/>
    </xf>
    <xf numFmtId="164" fontId="29" fillId="0" borderId="0" xfId="6" applyFont="1" applyFill="1" applyBorder="1" applyAlignment="1"/>
    <xf numFmtId="164" fontId="29" fillId="0" borderId="0" xfId="6" applyFont="1" applyFill="1" applyBorder="1" applyAlignment="1">
      <alignment vertical="center"/>
    </xf>
    <xf numFmtId="0" fontId="36" fillId="0" borderId="0" xfId="2" applyFont="1" applyAlignment="1"/>
    <xf numFmtId="0" fontId="38" fillId="0" borderId="0" xfId="0" applyFont="1">
      <alignment vertical="center"/>
    </xf>
    <xf numFmtId="0" fontId="27" fillId="0" borderId="3" xfId="2" applyFont="1" applyBorder="1" applyAlignment="1">
      <alignment horizontal="center"/>
    </xf>
  </cellXfs>
  <cellStyles count="9">
    <cellStyle name="Hiperlink" xfId="1" builtinId="8"/>
    <cellStyle name="Normal" xfId="0" builtinId="0"/>
    <cellStyle name="Normal 2" xfId="2" xr:uid="{324ED6D2-6FF8-4399-BC8B-E1DFF25F740B}"/>
    <cellStyle name="Normal 3" xfId="3" xr:uid="{97B63736-E184-46AB-91AF-F088060EE1C1}"/>
    <cellStyle name="Normal_Plan1" xfId="4" xr:uid="{F43C2A3B-C6F9-4CF8-B40C-62FF2BFAD8B5}"/>
    <cellStyle name="Normal_Plan1 2" xfId="5" xr:uid="{990BF032-E666-4AD2-B9BD-8699CEE355CD}"/>
    <cellStyle name="Vírgula" xfId="6" builtinId="3"/>
    <cellStyle name="Vírgula 2" xfId="7" xr:uid="{60C8659E-A9D1-4C6A-9C35-86DE02B32C6A}"/>
    <cellStyle name="Vírgula 2 2" xfId="8" xr:uid="{9116C0AB-FF24-49C7-B6FE-B8EA67EE7DBD}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INSTALLED CAPACITY OF ELECTRIC GENERATION (GW)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HIDRO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auxI.2!$A$12:$A$43</c:f>
              <c:numCache>
                <c:formatCode>General</c:formatCode>
                <c:ptCount val="32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2007</c:v>
                </c:pt>
              </c:numCache>
            </c:numRef>
          </c:cat>
          <c:val>
            <c:numRef>
              <c:f>auxI.2!$D$12:$D$43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8-42C4-967A-24046703104E}"/>
            </c:ext>
          </c:extLst>
        </c:ser>
        <c:ser>
          <c:idx val="1"/>
          <c:order val="1"/>
          <c:tx>
            <c:v>TERMO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auxI.2!$A$12:$A$43</c:f>
              <c:numCache>
                <c:formatCode>General</c:formatCode>
                <c:ptCount val="32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2007</c:v>
                </c:pt>
              </c:numCache>
            </c:numRef>
          </c:cat>
          <c:val>
            <c:numRef>
              <c:f>auxI.2!$H$12:$H$43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8-42C4-967A-24046703104E}"/>
            </c:ext>
          </c:extLst>
        </c:ser>
        <c:ser>
          <c:idx val="2"/>
          <c:order val="2"/>
          <c:tx>
            <c:v>NUCLEO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auxI.2!$A$12:$A$43</c:f>
              <c:numCache>
                <c:formatCode>General</c:formatCode>
                <c:ptCount val="32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2007</c:v>
                </c:pt>
              </c:numCache>
            </c:numRef>
          </c:cat>
          <c:val>
            <c:numRef>
              <c:f>auxI.2!$N$12:$N$43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8-42C4-967A-240467031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872288"/>
        <c:axId val="1"/>
      </c:lineChart>
      <c:catAx>
        <c:axId val="162287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622872288"/>
        <c:crosses val="autoZero"/>
        <c:crossBetween val="between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INSTALLED CAPACITY OF ELECTRIC GENERATION (GW)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HIDRO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'aux I.1'!$A$12:$A$43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cat>
          <c:val>
            <c:numRef>
              <c:f>'aux I.1'!$D$12:$D$43</c:f>
              <c:numCache>
                <c:formatCode>#,##0</c:formatCode>
                <c:ptCount val="32"/>
                <c:pt idx="0">
                  <c:v>13724</c:v>
                </c:pt>
                <c:pt idx="1">
                  <c:v>16316</c:v>
                </c:pt>
                <c:pt idx="2">
                  <c:v>17904</c:v>
                </c:pt>
                <c:pt idx="3">
                  <c:v>19396</c:v>
                </c:pt>
                <c:pt idx="4">
                  <c:v>21665</c:v>
                </c:pt>
                <c:pt idx="5">
                  <c:v>24235</c:v>
                </c:pt>
                <c:pt idx="6">
                  <c:v>27649</c:v>
                </c:pt>
                <c:pt idx="7">
                  <c:v>31173</c:v>
                </c:pt>
                <c:pt idx="8">
                  <c:v>33156</c:v>
                </c:pt>
                <c:pt idx="9">
                  <c:v>34178</c:v>
                </c:pt>
                <c:pt idx="10">
                  <c:v>34923</c:v>
                </c:pt>
                <c:pt idx="11">
                  <c:v>37077</c:v>
                </c:pt>
                <c:pt idx="12">
                  <c:v>37786</c:v>
                </c:pt>
                <c:pt idx="13">
                  <c:v>40329</c:v>
                </c:pt>
                <c:pt idx="14">
                  <c:v>42228</c:v>
                </c:pt>
                <c:pt idx="15">
                  <c:v>44796</c:v>
                </c:pt>
                <c:pt idx="16">
                  <c:v>45558</c:v>
                </c:pt>
                <c:pt idx="17">
                  <c:v>46616</c:v>
                </c:pt>
                <c:pt idx="18">
                  <c:v>47709</c:v>
                </c:pt>
                <c:pt idx="19">
                  <c:v>48591</c:v>
                </c:pt>
                <c:pt idx="20">
                  <c:v>49921</c:v>
                </c:pt>
                <c:pt idx="21">
                  <c:v>51367</c:v>
                </c:pt>
                <c:pt idx="22">
                  <c:v>53119</c:v>
                </c:pt>
                <c:pt idx="23">
                  <c:v>54889</c:v>
                </c:pt>
                <c:pt idx="24">
                  <c:v>56759</c:v>
                </c:pt>
                <c:pt idx="25">
                  <c:v>58997</c:v>
                </c:pt>
                <c:pt idx="26">
                  <c:v>61063</c:v>
                </c:pt>
                <c:pt idx="27">
                  <c:v>62523</c:v>
                </c:pt>
                <c:pt idx="28">
                  <c:v>65311</c:v>
                </c:pt>
                <c:pt idx="29">
                  <c:v>67793</c:v>
                </c:pt>
                <c:pt idx="30">
                  <c:v>68999</c:v>
                </c:pt>
                <c:pt idx="31">
                  <c:v>70857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D4-4125-A33E-31F93E4BC7B2}"/>
            </c:ext>
          </c:extLst>
        </c:ser>
        <c:ser>
          <c:idx val="1"/>
          <c:order val="1"/>
          <c:tx>
            <c:v>TERMO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'aux I.1'!$A$12:$A$43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cat>
          <c:val>
            <c:numRef>
              <c:f>'aux I.1'!$G$12:$G$43</c:f>
              <c:numCache>
                <c:formatCode>#,##0</c:formatCode>
                <c:ptCount val="32"/>
                <c:pt idx="0">
                  <c:v>4409</c:v>
                </c:pt>
                <c:pt idx="1">
                  <c:v>4652</c:v>
                </c:pt>
                <c:pt idx="2">
                  <c:v>4680</c:v>
                </c:pt>
                <c:pt idx="3">
                  <c:v>4943</c:v>
                </c:pt>
                <c:pt idx="4">
                  <c:v>5307</c:v>
                </c:pt>
                <c:pt idx="5">
                  <c:v>5984</c:v>
                </c:pt>
                <c:pt idx="6">
                  <c:v>5823</c:v>
                </c:pt>
                <c:pt idx="7">
                  <c:v>6096</c:v>
                </c:pt>
                <c:pt idx="8">
                  <c:v>6190</c:v>
                </c:pt>
                <c:pt idx="9">
                  <c:v>6188</c:v>
                </c:pt>
                <c:pt idx="10">
                  <c:v>6173</c:v>
                </c:pt>
                <c:pt idx="11">
                  <c:v>6373</c:v>
                </c:pt>
                <c:pt idx="12">
                  <c:v>6510</c:v>
                </c:pt>
                <c:pt idx="13">
                  <c:v>6575</c:v>
                </c:pt>
                <c:pt idx="14">
                  <c:v>6690</c:v>
                </c:pt>
                <c:pt idx="15">
                  <c:v>6672</c:v>
                </c:pt>
                <c:pt idx="16">
                  <c:v>6835</c:v>
                </c:pt>
                <c:pt idx="17">
                  <c:v>6868</c:v>
                </c:pt>
                <c:pt idx="18">
                  <c:v>6683.5</c:v>
                </c:pt>
                <c:pt idx="19">
                  <c:v>6974.5</c:v>
                </c:pt>
                <c:pt idx="20">
                  <c:v>7050.5</c:v>
                </c:pt>
                <c:pt idx="21">
                  <c:v>7096.5</c:v>
                </c:pt>
                <c:pt idx="22">
                  <c:v>7024.5</c:v>
                </c:pt>
                <c:pt idx="23">
                  <c:v>7425.5</c:v>
                </c:pt>
                <c:pt idx="24">
                  <c:v>7787.5</c:v>
                </c:pt>
                <c:pt idx="25">
                  <c:v>8507</c:v>
                </c:pt>
                <c:pt idx="26">
                  <c:v>10623</c:v>
                </c:pt>
                <c:pt idx="27">
                  <c:v>11706</c:v>
                </c:pt>
                <c:pt idx="28">
                  <c:v>15118</c:v>
                </c:pt>
                <c:pt idx="29">
                  <c:v>16703</c:v>
                </c:pt>
                <c:pt idx="30">
                  <c:v>19725</c:v>
                </c:pt>
                <c:pt idx="31">
                  <c:v>20264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D4-4125-A33E-31F93E4BC7B2}"/>
            </c:ext>
          </c:extLst>
        </c:ser>
        <c:ser>
          <c:idx val="2"/>
          <c:order val="2"/>
          <c:tx>
            <c:v>NUCLEO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'aux I.1'!$A$12:$A$43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cat>
          <c:val>
            <c:numRef>
              <c:f>'aux I.1'!$L$12:$L$43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657</c:v>
                </c:pt>
                <c:pt idx="12">
                  <c:v>657</c:v>
                </c:pt>
                <c:pt idx="13">
                  <c:v>657</c:v>
                </c:pt>
                <c:pt idx="14">
                  <c:v>657</c:v>
                </c:pt>
                <c:pt idx="15">
                  <c:v>657</c:v>
                </c:pt>
                <c:pt idx="16">
                  <c:v>657</c:v>
                </c:pt>
                <c:pt idx="17">
                  <c:v>657</c:v>
                </c:pt>
                <c:pt idx="18">
                  <c:v>657</c:v>
                </c:pt>
                <c:pt idx="19">
                  <c:v>657</c:v>
                </c:pt>
                <c:pt idx="20">
                  <c:v>657</c:v>
                </c:pt>
                <c:pt idx="21">
                  <c:v>657</c:v>
                </c:pt>
                <c:pt idx="22">
                  <c:v>657</c:v>
                </c:pt>
                <c:pt idx="23">
                  <c:v>657</c:v>
                </c:pt>
                <c:pt idx="24">
                  <c:v>657</c:v>
                </c:pt>
                <c:pt idx="25">
                  <c:v>657</c:v>
                </c:pt>
                <c:pt idx="26">
                  <c:v>2007</c:v>
                </c:pt>
                <c:pt idx="27">
                  <c:v>2007</c:v>
                </c:pt>
                <c:pt idx="28">
                  <c:v>2007</c:v>
                </c:pt>
                <c:pt idx="29">
                  <c:v>2007</c:v>
                </c:pt>
                <c:pt idx="30">
                  <c:v>2007</c:v>
                </c:pt>
                <c:pt idx="31">
                  <c:v>2007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D4-4125-A33E-31F93E4BC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405712"/>
        <c:axId val="1"/>
      </c:lineChart>
      <c:catAx>
        <c:axId val="152340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523405712"/>
        <c:crosses val="autoZero"/>
        <c:crossBetween val="between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INSTALLED CAPACITY OF ELECTRIC GENERATION (GW)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HIDRO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auxI.2!#REF!</c:f>
              <c:numCache>
                <c:formatCode>General</c:formatCode>
                <c:ptCount val="31"/>
                <c:pt idx="0">
                  <c:v>13724</c:v>
                </c:pt>
                <c:pt idx="1">
                  <c:v>16316</c:v>
                </c:pt>
                <c:pt idx="2">
                  <c:v>17904</c:v>
                </c:pt>
                <c:pt idx="3">
                  <c:v>19396</c:v>
                </c:pt>
                <c:pt idx="4">
                  <c:v>21665</c:v>
                </c:pt>
                <c:pt idx="5">
                  <c:v>24235</c:v>
                </c:pt>
                <c:pt idx="6">
                  <c:v>27649</c:v>
                </c:pt>
                <c:pt idx="7">
                  <c:v>31173</c:v>
                </c:pt>
                <c:pt idx="8">
                  <c:v>33156</c:v>
                </c:pt>
                <c:pt idx="9">
                  <c:v>34178</c:v>
                </c:pt>
                <c:pt idx="10">
                  <c:v>34923</c:v>
                </c:pt>
                <c:pt idx="11">
                  <c:v>37077</c:v>
                </c:pt>
                <c:pt idx="12">
                  <c:v>37786</c:v>
                </c:pt>
                <c:pt idx="13">
                  <c:v>40329</c:v>
                </c:pt>
                <c:pt idx="14">
                  <c:v>42228</c:v>
                </c:pt>
                <c:pt idx="15">
                  <c:v>44796</c:v>
                </c:pt>
                <c:pt idx="16">
                  <c:v>45558</c:v>
                </c:pt>
                <c:pt idx="17">
                  <c:v>46616</c:v>
                </c:pt>
                <c:pt idx="18">
                  <c:v>47709</c:v>
                </c:pt>
                <c:pt idx="19">
                  <c:v>48591</c:v>
                </c:pt>
                <c:pt idx="20">
                  <c:v>49921</c:v>
                </c:pt>
                <c:pt idx="21">
                  <c:v>51367</c:v>
                </c:pt>
                <c:pt idx="22">
                  <c:v>53119</c:v>
                </c:pt>
                <c:pt idx="23">
                  <c:v>54889</c:v>
                </c:pt>
                <c:pt idx="24">
                  <c:v>56759</c:v>
                </c:pt>
                <c:pt idx="25">
                  <c:v>58997</c:v>
                </c:pt>
                <c:pt idx="26">
                  <c:v>61063</c:v>
                </c:pt>
                <c:pt idx="27">
                  <c:v>62523</c:v>
                </c:pt>
                <c:pt idx="28">
                  <c:v>65311</c:v>
                </c:pt>
                <c:pt idx="29">
                  <c:v>67793</c:v>
                </c:pt>
                <c:pt idx="30">
                  <c:v>68999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auxI.2!#REF!</c15:sqref>
                        </c15:formulaRef>
                      </c:ext>
                    </c:extLst>
                    <c:strCache>
                      <c:ptCount val="31"/>
                      <c:pt idx="0">
                        <c:v>1974</c:v>
                      </c:pt>
                      <c:pt idx="1">
                        <c:v>1975</c:v>
                      </c:pt>
                      <c:pt idx="2">
                        <c:v>1976</c:v>
                      </c:pt>
                      <c:pt idx="3">
                        <c:v>1977</c:v>
                      </c:pt>
                      <c:pt idx="4">
                        <c:v>1978</c:v>
                      </c:pt>
                      <c:pt idx="5">
                        <c:v>1979</c:v>
                      </c:pt>
                      <c:pt idx="6">
                        <c:v>1980</c:v>
                      </c:pt>
                      <c:pt idx="7">
                        <c:v>1981</c:v>
                      </c:pt>
                      <c:pt idx="8">
                        <c:v>1982</c:v>
                      </c:pt>
                      <c:pt idx="9">
                        <c:v>1983</c:v>
                      </c:pt>
                      <c:pt idx="10">
                        <c:v>1984</c:v>
                      </c:pt>
                      <c:pt idx="11">
                        <c:v>1985</c:v>
                      </c:pt>
                      <c:pt idx="12">
                        <c:v>1986</c:v>
                      </c:pt>
                      <c:pt idx="13">
                        <c:v>1987</c:v>
                      </c:pt>
                      <c:pt idx="14">
                        <c:v>1988</c:v>
                      </c:pt>
                      <c:pt idx="15">
                        <c:v>1989</c:v>
                      </c:pt>
                      <c:pt idx="16">
                        <c:v>1990</c:v>
                      </c:pt>
                      <c:pt idx="17">
                        <c:v>1991</c:v>
                      </c:pt>
                      <c:pt idx="18">
                        <c:v>1992</c:v>
                      </c:pt>
                      <c:pt idx="19">
                        <c:v>1993</c:v>
                      </c:pt>
                      <c:pt idx="20">
                        <c:v>1994</c:v>
                      </c:pt>
                      <c:pt idx="21">
                        <c:v>1995</c:v>
                      </c:pt>
                      <c:pt idx="22">
                        <c:v>1996</c:v>
                      </c:pt>
                      <c:pt idx="23">
                        <c:v>1997</c:v>
                      </c:pt>
                      <c:pt idx="24">
                        <c:v>1998</c:v>
                      </c:pt>
                      <c:pt idx="25">
                        <c:v>1999</c:v>
                      </c:pt>
                      <c:pt idx="26">
                        <c:v>2000</c:v>
                      </c:pt>
                      <c:pt idx="27">
                        <c:v>2001</c:v>
                      </c:pt>
                      <c:pt idx="28">
                        <c:v>2002</c:v>
                      </c:pt>
                      <c:pt idx="29">
                        <c:v>2003</c:v>
                      </c:pt>
                      <c:pt idx="30">
                        <c:v>2004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7A8-4965-8E03-0B410C32946C}"/>
            </c:ext>
          </c:extLst>
        </c:ser>
        <c:ser>
          <c:idx val="1"/>
          <c:order val="1"/>
          <c:tx>
            <c:v>TERMO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auxI.2!#REF!</c:f>
              <c:numCache>
                <c:formatCode>General</c:formatCode>
                <c:ptCount val="31"/>
                <c:pt idx="0">
                  <c:v>4409</c:v>
                </c:pt>
                <c:pt idx="1">
                  <c:v>4652</c:v>
                </c:pt>
                <c:pt idx="2">
                  <c:v>4680</c:v>
                </c:pt>
                <c:pt idx="3">
                  <c:v>4943</c:v>
                </c:pt>
                <c:pt idx="4">
                  <c:v>5307</c:v>
                </c:pt>
                <c:pt idx="5">
                  <c:v>5984</c:v>
                </c:pt>
                <c:pt idx="6">
                  <c:v>5823</c:v>
                </c:pt>
                <c:pt idx="7">
                  <c:v>6096</c:v>
                </c:pt>
                <c:pt idx="8">
                  <c:v>6190</c:v>
                </c:pt>
                <c:pt idx="9">
                  <c:v>6188</c:v>
                </c:pt>
                <c:pt idx="10">
                  <c:v>6173</c:v>
                </c:pt>
                <c:pt idx="11">
                  <c:v>6373</c:v>
                </c:pt>
                <c:pt idx="12">
                  <c:v>6510</c:v>
                </c:pt>
                <c:pt idx="13">
                  <c:v>6575</c:v>
                </c:pt>
                <c:pt idx="14">
                  <c:v>6690</c:v>
                </c:pt>
                <c:pt idx="15">
                  <c:v>6672</c:v>
                </c:pt>
                <c:pt idx="16">
                  <c:v>6835</c:v>
                </c:pt>
                <c:pt idx="17">
                  <c:v>6868</c:v>
                </c:pt>
                <c:pt idx="18">
                  <c:v>6683</c:v>
                </c:pt>
                <c:pt idx="19">
                  <c:v>6974</c:v>
                </c:pt>
                <c:pt idx="20">
                  <c:v>7051</c:v>
                </c:pt>
                <c:pt idx="21">
                  <c:v>7097</c:v>
                </c:pt>
                <c:pt idx="22">
                  <c:v>7025</c:v>
                </c:pt>
                <c:pt idx="23">
                  <c:v>7426</c:v>
                </c:pt>
                <c:pt idx="24">
                  <c:v>7793</c:v>
                </c:pt>
                <c:pt idx="25">
                  <c:v>8526</c:v>
                </c:pt>
                <c:pt idx="26">
                  <c:v>10642</c:v>
                </c:pt>
                <c:pt idx="27">
                  <c:v>11725</c:v>
                </c:pt>
                <c:pt idx="28">
                  <c:v>15140</c:v>
                </c:pt>
                <c:pt idx="29">
                  <c:v>16705</c:v>
                </c:pt>
                <c:pt idx="30">
                  <c:v>19727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auxI.2!#REF!</c15:sqref>
                        </c15:formulaRef>
                      </c:ext>
                    </c:extLst>
                    <c:strCache>
                      <c:ptCount val="31"/>
                      <c:pt idx="0">
                        <c:v>1974</c:v>
                      </c:pt>
                      <c:pt idx="1">
                        <c:v>1975</c:v>
                      </c:pt>
                      <c:pt idx="2">
                        <c:v>1976</c:v>
                      </c:pt>
                      <c:pt idx="3">
                        <c:v>1977</c:v>
                      </c:pt>
                      <c:pt idx="4">
                        <c:v>1978</c:v>
                      </c:pt>
                      <c:pt idx="5">
                        <c:v>1979</c:v>
                      </c:pt>
                      <c:pt idx="6">
                        <c:v>1980</c:v>
                      </c:pt>
                      <c:pt idx="7">
                        <c:v>1981</c:v>
                      </c:pt>
                      <c:pt idx="8">
                        <c:v>1982</c:v>
                      </c:pt>
                      <c:pt idx="9">
                        <c:v>1983</c:v>
                      </c:pt>
                      <c:pt idx="10">
                        <c:v>1984</c:v>
                      </c:pt>
                      <c:pt idx="11">
                        <c:v>1985</c:v>
                      </c:pt>
                      <c:pt idx="12">
                        <c:v>1986</c:v>
                      </c:pt>
                      <c:pt idx="13">
                        <c:v>1987</c:v>
                      </c:pt>
                      <c:pt idx="14">
                        <c:v>1988</c:v>
                      </c:pt>
                      <c:pt idx="15">
                        <c:v>1989</c:v>
                      </c:pt>
                      <c:pt idx="16">
                        <c:v>1990</c:v>
                      </c:pt>
                      <c:pt idx="17">
                        <c:v>1991</c:v>
                      </c:pt>
                      <c:pt idx="18">
                        <c:v>1992</c:v>
                      </c:pt>
                      <c:pt idx="19">
                        <c:v>1993</c:v>
                      </c:pt>
                      <c:pt idx="20">
                        <c:v>1994</c:v>
                      </c:pt>
                      <c:pt idx="21">
                        <c:v>1995</c:v>
                      </c:pt>
                      <c:pt idx="22">
                        <c:v>1996</c:v>
                      </c:pt>
                      <c:pt idx="23">
                        <c:v>1997</c:v>
                      </c:pt>
                      <c:pt idx="24">
                        <c:v>1998</c:v>
                      </c:pt>
                      <c:pt idx="25">
                        <c:v>1999</c:v>
                      </c:pt>
                      <c:pt idx="26">
                        <c:v>2000</c:v>
                      </c:pt>
                      <c:pt idx="27">
                        <c:v>2001</c:v>
                      </c:pt>
                      <c:pt idx="28">
                        <c:v>2002</c:v>
                      </c:pt>
                      <c:pt idx="29">
                        <c:v>2003</c:v>
                      </c:pt>
                      <c:pt idx="30">
                        <c:v>2004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7A8-4965-8E03-0B410C32946C}"/>
            </c:ext>
          </c:extLst>
        </c:ser>
        <c:ser>
          <c:idx val="2"/>
          <c:order val="2"/>
          <c:tx>
            <c:v>NUCLEO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auxI.2!#REF!</c:f>
              <c:numCache>
                <c:formatCode>General</c:formatCode>
                <c:ptCount val="31"/>
                <c:pt idx="11">
                  <c:v>657</c:v>
                </c:pt>
                <c:pt idx="12">
                  <c:v>657</c:v>
                </c:pt>
                <c:pt idx="13">
                  <c:v>657</c:v>
                </c:pt>
                <c:pt idx="14">
                  <c:v>657</c:v>
                </c:pt>
                <c:pt idx="15">
                  <c:v>657</c:v>
                </c:pt>
                <c:pt idx="16">
                  <c:v>657</c:v>
                </c:pt>
                <c:pt idx="17">
                  <c:v>657</c:v>
                </c:pt>
                <c:pt idx="18">
                  <c:v>657</c:v>
                </c:pt>
                <c:pt idx="19">
                  <c:v>657</c:v>
                </c:pt>
                <c:pt idx="20">
                  <c:v>657</c:v>
                </c:pt>
                <c:pt idx="21">
                  <c:v>657</c:v>
                </c:pt>
                <c:pt idx="22">
                  <c:v>657</c:v>
                </c:pt>
                <c:pt idx="23">
                  <c:v>657</c:v>
                </c:pt>
                <c:pt idx="24">
                  <c:v>657</c:v>
                </c:pt>
                <c:pt idx="25">
                  <c:v>657</c:v>
                </c:pt>
                <c:pt idx="26">
                  <c:v>2007</c:v>
                </c:pt>
                <c:pt idx="27">
                  <c:v>2007</c:v>
                </c:pt>
                <c:pt idx="28">
                  <c:v>2007</c:v>
                </c:pt>
                <c:pt idx="29">
                  <c:v>2007</c:v>
                </c:pt>
                <c:pt idx="30">
                  <c:v>2007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auxI.2!#REF!</c15:sqref>
                        </c15:formulaRef>
                      </c:ext>
                    </c:extLst>
                    <c:strCache>
                      <c:ptCount val="31"/>
                      <c:pt idx="0">
                        <c:v>1974</c:v>
                      </c:pt>
                      <c:pt idx="1">
                        <c:v>1975</c:v>
                      </c:pt>
                      <c:pt idx="2">
                        <c:v>1976</c:v>
                      </c:pt>
                      <c:pt idx="3">
                        <c:v>1977</c:v>
                      </c:pt>
                      <c:pt idx="4">
                        <c:v>1978</c:v>
                      </c:pt>
                      <c:pt idx="5">
                        <c:v>1979</c:v>
                      </c:pt>
                      <c:pt idx="6">
                        <c:v>1980</c:v>
                      </c:pt>
                      <c:pt idx="7">
                        <c:v>1981</c:v>
                      </c:pt>
                      <c:pt idx="8">
                        <c:v>1982</c:v>
                      </c:pt>
                      <c:pt idx="9">
                        <c:v>1983</c:v>
                      </c:pt>
                      <c:pt idx="10">
                        <c:v>1984</c:v>
                      </c:pt>
                      <c:pt idx="11">
                        <c:v>1985</c:v>
                      </c:pt>
                      <c:pt idx="12">
                        <c:v>1986</c:v>
                      </c:pt>
                      <c:pt idx="13">
                        <c:v>1987</c:v>
                      </c:pt>
                      <c:pt idx="14">
                        <c:v>1988</c:v>
                      </c:pt>
                      <c:pt idx="15">
                        <c:v>1989</c:v>
                      </c:pt>
                      <c:pt idx="16">
                        <c:v>1990</c:v>
                      </c:pt>
                      <c:pt idx="17">
                        <c:v>1991</c:v>
                      </c:pt>
                      <c:pt idx="18">
                        <c:v>1992</c:v>
                      </c:pt>
                      <c:pt idx="19">
                        <c:v>1993</c:v>
                      </c:pt>
                      <c:pt idx="20">
                        <c:v>1994</c:v>
                      </c:pt>
                      <c:pt idx="21">
                        <c:v>1995</c:v>
                      </c:pt>
                      <c:pt idx="22">
                        <c:v>1996</c:v>
                      </c:pt>
                      <c:pt idx="23">
                        <c:v>1997</c:v>
                      </c:pt>
                      <c:pt idx="24">
                        <c:v>1998</c:v>
                      </c:pt>
                      <c:pt idx="25">
                        <c:v>1999</c:v>
                      </c:pt>
                      <c:pt idx="26">
                        <c:v>2000</c:v>
                      </c:pt>
                      <c:pt idx="27">
                        <c:v>2001</c:v>
                      </c:pt>
                      <c:pt idx="28">
                        <c:v>2002</c:v>
                      </c:pt>
                      <c:pt idx="29">
                        <c:v>2003</c:v>
                      </c:pt>
                      <c:pt idx="30">
                        <c:v>2004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7A8-4965-8E03-0B410C329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415312"/>
        <c:axId val="1"/>
      </c:lineChart>
      <c:catAx>
        <c:axId val="152341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6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523415312"/>
        <c:crosses val="autoZero"/>
        <c:crossBetween val="between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INSTALLED CAPACITY OF REFINING
 (10³ m³ d/o)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auxI.3!$A$11:$A$42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cat>
          <c:val>
            <c:numRef>
              <c:f>auxI.3!$A$11:$A$42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C-483A-AD5F-A4DB6CED8416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auxI.3!$A$11:$A$42</c:f>
              <c:numCache>
                <c:formatCode>General</c:formatCode>
                <c:ptCount val="3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</c:numCache>
            </c:numRef>
          </c:cat>
          <c:val>
            <c:numRef>
              <c:f>auxI.3!$B$11:$B$42</c:f>
              <c:numCache>
                <c:formatCode>#,##0</c:formatCode>
                <c:ptCount val="32"/>
                <c:pt idx="0">
                  <c:v>164200</c:v>
                </c:pt>
                <c:pt idx="1">
                  <c:v>166700</c:v>
                </c:pt>
                <c:pt idx="2">
                  <c:v>165700</c:v>
                </c:pt>
                <c:pt idx="3">
                  <c:v>185800</c:v>
                </c:pt>
                <c:pt idx="4">
                  <c:v>201100</c:v>
                </c:pt>
                <c:pt idx="5">
                  <c:v>201100</c:v>
                </c:pt>
                <c:pt idx="6">
                  <c:v>233100</c:v>
                </c:pt>
                <c:pt idx="7">
                  <c:v>233300</c:v>
                </c:pt>
                <c:pt idx="8">
                  <c:v>238200</c:v>
                </c:pt>
                <c:pt idx="9">
                  <c:v>240100</c:v>
                </c:pt>
                <c:pt idx="10">
                  <c:v>240100</c:v>
                </c:pt>
                <c:pt idx="11">
                  <c:v>240100</c:v>
                </c:pt>
                <c:pt idx="12">
                  <c:v>240100</c:v>
                </c:pt>
                <c:pt idx="13">
                  <c:v>240100</c:v>
                </c:pt>
                <c:pt idx="14">
                  <c:v>234890</c:v>
                </c:pt>
                <c:pt idx="15">
                  <c:v>241040</c:v>
                </c:pt>
                <c:pt idx="16">
                  <c:v>241040</c:v>
                </c:pt>
                <c:pt idx="17">
                  <c:v>241750</c:v>
                </c:pt>
                <c:pt idx="18">
                  <c:v>241680</c:v>
                </c:pt>
                <c:pt idx="19">
                  <c:v>239080</c:v>
                </c:pt>
                <c:pt idx="20">
                  <c:v>246580</c:v>
                </c:pt>
                <c:pt idx="21">
                  <c:v>247880</c:v>
                </c:pt>
                <c:pt idx="22">
                  <c:v>249461</c:v>
                </c:pt>
                <c:pt idx="23">
                  <c:v>278198</c:v>
                </c:pt>
                <c:pt idx="24">
                  <c:v>281096</c:v>
                </c:pt>
                <c:pt idx="25">
                  <c:v>285475</c:v>
                </c:pt>
                <c:pt idx="26">
                  <c:v>294025</c:v>
                </c:pt>
                <c:pt idx="27">
                  <c:v>294025</c:v>
                </c:pt>
                <c:pt idx="28">
                  <c:v>294690</c:v>
                </c:pt>
                <c:pt idx="29">
                  <c:v>304523</c:v>
                </c:pt>
                <c:pt idx="30">
                  <c:v>304523</c:v>
                </c:pt>
                <c:pt idx="31">
                  <c:v>304618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C-483A-AD5F-A4DB6CED8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412432"/>
        <c:axId val="1"/>
      </c:areaChart>
      <c:catAx>
        <c:axId val="152341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523412432"/>
        <c:crosses val="autoZero"/>
        <c:crossBetween val="midCat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247650</xdr:colOff>
      <xdr:row>6</xdr:row>
      <xdr:rowOff>28575</xdr:rowOff>
    </xdr:to>
    <xdr:pic>
      <xdr:nvPicPr>
        <xdr:cNvPr id="38259" name="Picture 1" descr="Logo EPE">
          <a:extLst>
            <a:ext uri="{FF2B5EF4-FFF2-40B4-BE49-F238E27FC236}">
              <a16:creationId xmlns:a16="http://schemas.microsoft.com/office/drawing/2014/main" id="{3BE22E7F-1FF3-DFB1-D819-F2D04804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954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61</xdr:row>
      <xdr:rowOff>0</xdr:rowOff>
    </xdr:from>
    <xdr:to>
      <xdr:col>19</xdr:col>
      <xdr:colOff>0</xdr:colOff>
      <xdr:row>61</xdr:row>
      <xdr:rowOff>0</xdr:rowOff>
    </xdr:to>
    <xdr:graphicFrame macro="">
      <xdr:nvGraphicFramePr>
        <xdr:cNvPr id="64962" name="Chart 1">
          <a:extLst>
            <a:ext uri="{FF2B5EF4-FFF2-40B4-BE49-F238E27FC236}">
              <a16:creationId xmlns:a16="http://schemas.microsoft.com/office/drawing/2014/main" id="{5F048A51-733C-7109-1031-5BAD93921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0.64531</cdr:x>
      <cdr:y>0.51719</cdr:y>
    </cdr:from>
    <cdr:to>
      <cdr:x>0.71797</cdr:x>
      <cdr:y>0.52806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6463" y="382491"/>
          <a:ext cx="53287" cy="79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HYDRO</a:t>
          </a:r>
        </a:p>
      </cdr:txBody>
    </cdr:sp>
  </cdr:relSizeAnchor>
  <cdr:relSizeAnchor xmlns:cdr="http://schemas.openxmlformats.org/drawingml/2006/chartDrawing">
    <cdr:from>
      <cdr:x>0.69752</cdr:x>
      <cdr:y>0.53959</cdr:y>
    </cdr:from>
    <cdr:to>
      <cdr:x>0.74973</cdr:x>
      <cdr:y>0.54677</cdr:y>
    </cdr:to>
    <cdr:sp macro="" textlink="">
      <cdr:nvSpPr>
        <cdr:cNvPr id="20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4753" y="398924"/>
          <a:ext cx="38291" cy="52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THERMO</a:t>
          </a:r>
        </a:p>
      </cdr:txBody>
    </cdr:sp>
  </cdr:relSizeAnchor>
  <cdr:relSizeAnchor xmlns:cdr="http://schemas.openxmlformats.org/drawingml/2006/chartDrawing">
    <cdr:from>
      <cdr:x>0.65575</cdr:x>
      <cdr:y>0.56352</cdr:y>
    </cdr:from>
    <cdr:to>
      <cdr:x>0.71797</cdr:x>
      <cdr:y>0.57418</cdr:y>
    </cdr:to>
    <cdr:sp macro="" textlink="">
      <cdr:nvSpPr>
        <cdr:cNvPr id="205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121" y="416474"/>
          <a:ext cx="45629" cy="78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NUCLEO</a:t>
          </a:r>
        </a:p>
      </cdr:txBody>
    </cdr:sp>
  </cdr:relSizeAnchor>
  <cdr:relSizeAnchor xmlns:cdr="http://schemas.openxmlformats.org/drawingml/2006/chartDrawing">
    <cdr:from>
      <cdr:x>0.73863</cdr:x>
      <cdr:y>0.54677</cdr:y>
    </cdr:from>
    <cdr:to>
      <cdr:x>0.75495</cdr:x>
      <cdr:y>0.56656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44907" y="404189"/>
          <a:ext cx="11966" cy="1451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0.70274</cdr:x>
      <cdr:y>0.56656</cdr:y>
    </cdr:from>
    <cdr:to>
      <cdr:x>0.73863</cdr:x>
      <cdr:y>0.58157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18582" y="418708"/>
          <a:ext cx="26325" cy="1100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285750</xdr:colOff>
      <xdr:row>53</xdr:row>
      <xdr:rowOff>0</xdr:rowOff>
    </xdr:to>
    <xdr:graphicFrame macro="">
      <xdr:nvGraphicFramePr>
        <xdr:cNvPr id="10982" name="Chart 2">
          <a:extLst>
            <a:ext uri="{FF2B5EF4-FFF2-40B4-BE49-F238E27FC236}">
              <a16:creationId xmlns:a16="http://schemas.microsoft.com/office/drawing/2014/main" id="{9C70D00F-AAEB-C7F4-400F-87D90B882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133350</xdr:colOff>
      <xdr:row>6</xdr:row>
      <xdr:rowOff>28575</xdr:rowOff>
    </xdr:to>
    <xdr:pic>
      <xdr:nvPicPr>
        <xdr:cNvPr id="10983" name="Picture 3" descr="Logo EPE">
          <a:extLst>
            <a:ext uri="{FF2B5EF4-FFF2-40B4-BE49-F238E27FC236}">
              <a16:creationId xmlns:a16="http://schemas.microsoft.com/office/drawing/2014/main" id="{9F0AC2D2-CE51-6AB8-A4F0-BC0C139D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954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0.53464</cdr:x>
      <cdr:y>0.45236</cdr:y>
    </cdr:from>
    <cdr:to>
      <cdr:x>0.74231</cdr:x>
      <cdr:y>0.46345</cdr:y>
    </cdr:to>
    <cdr:sp macro="" textlink="">
      <cdr:nvSpPr>
        <cdr:cNvPr id="122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9683" y="334947"/>
          <a:ext cx="1128512" cy="81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HYDRO</a:t>
          </a:r>
        </a:p>
      </cdr:txBody>
    </cdr:sp>
  </cdr:relSizeAnchor>
  <cdr:relSizeAnchor xmlns:cdr="http://schemas.openxmlformats.org/drawingml/2006/chartDrawing">
    <cdr:from>
      <cdr:x>0.6834</cdr:x>
      <cdr:y>0.47498</cdr:y>
    </cdr:from>
    <cdr:to>
      <cdr:x>0.83313</cdr:x>
      <cdr:y>0.48194</cdr:y>
    </cdr:to>
    <cdr:sp macro="" textlink="">
      <cdr:nvSpPr>
        <cdr:cNvPr id="122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9996" y="351540"/>
          <a:ext cx="814178" cy="51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THERMO</a:t>
          </a:r>
        </a:p>
      </cdr:txBody>
    </cdr:sp>
  </cdr:relSizeAnchor>
  <cdr:relSizeAnchor xmlns:cdr="http://schemas.openxmlformats.org/drawingml/2006/chartDrawing">
    <cdr:from>
      <cdr:x>0.56555</cdr:x>
      <cdr:y>0.49869</cdr:y>
    </cdr:from>
    <cdr:to>
      <cdr:x>0.74158</cdr:x>
      <cdr:y>0.50935</cdr:y>
    </cdr:to>
    <cdr:sp macro="" textlink="">
      <cdr:nvSpPr>
        <cdr:cNvPr id="1229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23291" y="368930"/>
          <a:ext cx="961039" cy="78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NUCLEO</a:t>
          </a:r>
        </a:p>
      </cdr:txBody>
    </cdr:sp>
  </cdr:relSizeAnchor>
  <cdr:relSizeAnchor xmlns:cdr="http://schemas.openxmlformats.org/drawingml/2006/chartDrawing">
    <cdr:from>
      <cdr:x>0.7995</cdr:x>
      <cdr:y>0.48194</cdr:y>
    </cdr:from>
    <cdr:to>
      <cdr:x>0.84763</cdr:x>
      <cdr:y>0.50174</cdr:y>
    </cdr:to>
    <cdr:sp macro="" textlink="">
      <cdr:nvSpPr>
        <cdr:cNvPr id="1229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403818" y="356645"/>
          <a:ext cx="260228" cy="1451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0.69935</cdr:x>
      <cdr:y>0.50174</cdr:y>
    </cdr:from>
    <cdr:to>
      <cdr:x>0.7995</cdr:x>
      <cdr:y>0.51675</cdr:y>
    </cdr:to>
    <cdr:sp macro="" textlink="">
      <cdr:nvSpPr>
        <cdr:cNvPr id="1229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853732" y="371164"/>
          <a:ext cx="550086" cy="1100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graphicFrame macro="">
      <xdr:nvGraphicFramePr>
        <xdr:cNvPr id="18149" name="Chart 1">
          <a:extLst>
            <a:ext uri="{FF2B5EF4-FFF2-40B4-BE49-F238E27FC236}">
              <a16:creationId xmlns:a16="http://schemas.microsoft.com/office/drawing/2014/main" id="{739DF3FD-CC40-5D2A-1E3E-B231968FC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6</xdr:row>
      <xdr:rowOff>28575</xdr:rowOff>
    </xdr:to>
    <xdr:pic>
      <xdr:nvPicPr>
        <xdr:cNvPr id="18150" name="Picture 2" descr="Logo EPE">
          <a:extLst>
            <a:ext uri="{FF2B5EF4-FFF2-40B4-BE49-F238E27FC236}">
              <a16:creationId xmlns:a16="http://schemas.microsoft.com/office/drawing/2014/main" id="{D0D9DD70-D3C5-B141-2965-E34DCB93A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954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0.64531</cdr:x>
      <cdr:y>0.51719</cdr:y>
    </cdr:from>
    <cdr:to>
      <cdr:x>0.71797</cdr:x>
      <cdr:y>0.52828</cdr:y>
    </cdr:to>
    <cdr:sp macro="" textlink="">
      <cdr:nvSpPr>
        <cdr:cNvPr id="1843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6463" y="382491"/>
          <a:ext cx="53287" cy="81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HYDRO</a:t>
          </a:r>
        </a:p>
      </cdr:txBody>
    </cdr:sp>
  </cdr:relSizeAnchor>
  <cdr:relSizeAnchor xmlns:cdr="http://schemas.openxmlformats.org/drawingml/2006/chartDrawing">
    <cdr:from>
      <cdr:x>0.69752</cdr:x>
      <cdr:y>0.53981</cdr:y>
    </cdr:from>
    <cdr:to>
      <cdr:x>0.74994</cdr:x>
      <cdr:y>0.54677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4753" y="399084"/>
          <a:ext cx="38450" cy="51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THERMO</a:t>
          </a:r>
        </a:p>
      </cdr:txBody>
    </cdr:sp>
  </cdr:relSizeAnchor>
  <cdr:relSizeAnchor xmlns:cdr="http://schemas.openxmlformats.org/drawingml/2006/chartDrawing">
    <cdr:from>
      <cdr:x>0.65575</cdr:x>
      <cdr:y>0.56352</cdr:y>
    </cdr:from>
    <cdr:to>
      <cdr:x>0.71775</cdr:x>
      <cdr:y>0.57418</cdr:y>
    </cdr:to>
    <cdr:sp macro="" textlink="">
      <cdr:nvSpPr>
        <cdr:cNvPr id="1843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121" y="416474"/>
          <a:ext cx="45470" cy="78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NUCLEO</a:t>
          </a:r>
        </a:p>
      </cdr:txBody>
    </cdr:sp>
  </cdr:relSizeAnchor>
  <cdr:relSizeAnchor xmlns:cdr="http://schemas.openxmlformats.org/drawingml/2006/chartDrawing">
    <cdr:from>
      <cdr:x>0.73842</cdr:x>
      <cdr:y>0.54677</cdr:y>
    </cdr:from>
    <cdr:to>
      <cdr:x>0.75517</cdr:x>
      <cdr:y>0.56656</cdr:y>
    </cdr:to>
    <cdr:sp macro="" textlink="">
      <cdr:nvSpPr>
        <cdr:cNvPr id="18436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44747" y="404189"/>
          <a:ext cx="12285" cy="1451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0.70296</cdr:x>
      <cdr:y>0.56656</cdr:y>
    </cdr:from>
    <cdr:to>
      <cdr:x>0.73842</cdr:x>
      <cdr:y>0.58157</cdr:y>
    </cdr:to>
    <cdr:sp macro="" textlink="">
      <cdr:nvSpPr>
        <cdr:cNvPr id="18437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18742" y="418708"/>
          <a:ext cx="26005" cy="1100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47</xdr:row>
      <xdr:rowOff>0</xdr:rowOff>
    </xdr:from>
    <xdr:to>
      <xdr:col>8</xdr:col>
      <xdr:colOff>590550</xdr:colOff>
      <xdr:row>47</xdr:row>
      <xdr:rowOff>0</xdr:rowOff>
    </xdr:to>
    <xdr:graphicFrame macro="">
      <xdr:nvGraphicFramePr>
        <xdr:cNvPr id="1766" name="Chart 2">
          <a:extLst>
            <a:ext uri="{FF2B5EF4-FFF2-40B4-BE49-F238E27FC236}">
              <a16:creationId xmlns:a16="http://schemas.microsoft.com/office/drawing/2014/main" id="{3B709FDE-939D-4ED2-448A-211D9A53F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1695450</xdr:colOff>
      <xdr:row>6</xdr:row>
      <xdr:rowOff>28575</xdr:rowOff>
    </xdr:to>
    <xdr:pic>
      <xdr:nvPicPr>
        <xdr:cNvPr id="1767" name="Picture 3" descr="Logo EPE">
          <a:extLst>
            <a:ext uri="{FF2B5EF4-FFF2-40B4-BE49-F238E27FC236}">
              <a16:creationId xmlns:a16="http://schemas.microsoft.com/office/drawing/2014/main" id="{592AF9EF-2C8B-1CE1-23CF-528A7CB3F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954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1F4B-0B0E-4A01-8392-9F1BDB45A2FF}">
  <dimension ref="B8:C32"/>
  <sheetViews>
    <sheetView showGridLines="0" workbookViewId="0">
      <selection activeCell="D1" sqref="D1"/>
    </sheetView>
  </sheetViews>
  <sheetFormatPr defaultRowHeight="15" customHeight="1" x14ac:dyDescent="0.2"/>
  <cols>
    <col min="1" max="1" width="9.140625" style="1"/>
    <col min="2" max="2" width="12.5703125" style="1" customWidth="1"/>
    <col min="3" max="16384" width="9.140625" style="1"/>
  </cols>
  <sheetData>
    <row r="8" spans="2:3" ht="15" customHeight="1" x14ac:dyDescent="0.2">
      <c r="B8" s="2" t="s">
        <v>112</v>
      </c>
    </row>
    <row r="9" spans="2:3" ht="15" customHeight="1" x14ac:dyDescent="0.2">
      <c r="B9" s="1" t="s">
        <v>4</v>
      </c>
    </row>
    <row r="10" spans="2:3" ht="15" customHeight="1" x14ac:dyDescent="0.2">
      <c r="B10" s="38" t="s">
        <v>49</v>
      </c>
    </row>
    <row r="12" spans="2:3" ht="15" customHeight="1" x14ac:dyDescent="0.2">
      <c r="B12" s="1" t="s">
        <v>3</v>
      </c>
    </row>
    <row r="13" spans="2:3" ht="15" customHeight="1" x14ac:dyDescent="0.2">
      <c r="B13" s="3" t="s">
        <v>46</v>
      </c>
      <c r="C13" s="1" t="s">
        <v>87</v>
      </c>
    </row>
    <row r="14" spans="2:3" ht="15" customHeight="1" x14ac:dyDescent="0.2">
      <c r="B14" s="3"/>
      <c r="C14" s="38" t="s">
        <v>88</v>
      </c>
    </row>
    <row r="15" spans="2:3" ht="15" customHeight="1" x14ac:dyDescent="0.2">
      <c r="B15" s="3"/>
    </row>
    <row r="16" spans="2:3" ht="15" customHeight="1" x14ac:dyDescent="0.2">
      <c r="B16" s="3" t="s">
        <v>51</v>
      </c>
      <c r="C16" s="1" t="s">
        <v>50</v>
      </c>
    </row>
    <row r="17" spans="2:3" ht="15" customHeight="1" x14ac:dyDescent="0.2">
      <c r="B17" s="3"/>
      <c r="C17" s="38" t="s">
        <v>89</v>
      </c>
    </row>
    <row r="18" spans="2:3" ht="15" customHeight="1" x14ac:dyDescent="0.2">
      <c r="B18" s="3"/>
    </row>
    <row r="19" spans="2:3" ht="15" customHeight="1" x14ac:dyDescent="0.2">
      <c r="B19" s="3" t="s">
        <v>86</v>
      </c>
      <c r="C19" s="1" t="s">
        <v>87</v>
      </c>
    </row>
    <row r="20" spans="2:3" ht="15" customHeight="1" x14ac:dyDescent="0.2">
      <c r="B20" s="3"/>
      <c r="C20" s="38" t="s">
        <v>88</v>
      </c>
    </row>
    <row r="21" spans="2:3" ht="15" customHeight="1" x14ac:dyDescent="0.2">
      <c r="B21" s="3"/>
    </row>
    <row r="22" spans="2:3" ht="15" customHeight="1" x14ac:dyDescent="0.2">
      <c r="B22" s="3" t="s">
        <v>97</v>
      </c>
      <c r="C22" s="1" t="s">
        <v>98</v>
      </c>
    </row>
    <row r="23" spans="2:3" ht="15" customHeight="1" x14ac:dyDescent="0.2">
      <c r="B23" s="3"/>
      <c r="C23" s="38" t="s">
        <v>99</v>
      </c>
    </row>
    <row r="24" spans="2:3" ht="15" customHeight="1" x14ac:dyDescent="0.2">
      <c r="B24" s="3"/>
    </row>
    <row r="25" spans="2:3" ht="15" customHeight="1" x14ac:dyDescent="0.2">
      <c r="B25" s="3" t="s">
        <v>92</v>
      </c>
      <c r="C25" s="1" t="s">
        <v>5</v>
      </c>
    </row>
    <row r="26" spans="2:3" ht="15" customHeight="1" x14ac:dyDescent="0.2">
      <c r="B26" s="3"/>
      <c r="C26" s="38" t="s">
        <v>90</v>
      </c>
    </row>
    <row r="27" spans="2:3" ht="15" customHeight="1" x14ac:dyDescent="0.2">
      <c r="B27" s="3"/>
    </row>
    <row r="28" spans="2:3" ht="15" customHeight="1" x14ac:dyDescent="0.2">
      <c r="B28" s="3" t="s">
        <v>96</v>
      </c>
      <c r="C28" s="1" t="s">
        <v>43</v>
      </c>
    </row>
    <row r="29" spans="2:3" ht="15" customHeight="1" x14ac:dyDescent="0.2">
      <c r="B29" s="3"/>
      <c r="C29" s="38" t="s">
        <v>95</v>
      </c>
    </row>
    <row r="30" spans="2:3" ht="15" customHeight="1" x14ac:dyDescent="0.2">
      <c r="B30" s="3"/>
    </row>
    <row r="31" spans="2:3" ht="15" customHeight="1" x14ac:dyDescent="0.2">
      <c r="B31" s="3"/>
    </row>
    <row r="32" spans="2:3" ht="15" customHeight="1" x14ac:dyDescent="0.2">
      <c r="B32" s="4"/>
    </row>
  </sheetData>
  <phoneticPr fontId="8" type="noConversion"/>
  <hyperlinks>
    <hyperlink ref="B13" location="'Tabela I.1'!A1" display="Tabela I.1" xr:uid="{60F2468D-8AC3-4684-9AEE-E26B9BEBED75}"/>
    <hyperlink ref="B16" location="'Tabela I.1.1'!A1" display="Tabela I.1.1" xr:uid="{0C96E561-DC27-45B9-ADDF-7D3D552209A3}"/>
    <hyperlink ref="B25" location="'Tabela I.3'!A1" display="Tabela I.3" xr:uid="{612D09C5-EC85-483F-88BD-0CE2F4923780}"/>
    <hyperlink ref="B28" location="'Tabela I.4'!A1" display="Tabela I.4" xr:uid="{527D2D28-5BE3-40F9-9A0D-BFF25D0ACCAE}"/>
    <hyperlink ref="B19" location="'Tabela I.2'!A1" display="Tabela I.2" xr:uid="{B5EA40C2-48DC-4F9F-B8F1-B5536EA3CEB4}"/>
    <hyperlink ref="B22" location="'Tabela I.2.1'!A1" display="Tabela I.2.1" xr:uid="{0CA27317-45C0-4121-9E6D-42F85AEED1F1}"/>
  </hyperlinks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0E54-E316-48C5-B706-4A75D04904B8}">
  <sheetPr>
    <pageSetUpPr fitToPage="1"/>
  </sheetPr>
  <dimension ref="A1:T116"/>
  <sheetViews>
    <sheetView showGridLines="0" tabSelected="1" zoomScaleNormal="100" workbookViewId="0"/>
  </sheetViews>
  <sheetFormatPr defaultRowHeight="12.75" x14ac:dyDescent="0.2"/>
  <cols>
    <col min="1" max="1" width="9.140625" style="88"/>
    <col min="2" max="17" width="11.42578125" style="88" customWidth="1"/>
    <col min="18" max="19" width="9.140625" style="88"/>
    <col min="20" max="20" width="11.28515625" style="88" bestFit="1" customWidth="1"/>
    <col min="21" max="16384" width="9.140625" style="88"/>
  </cols>
  <sheetData>
    <row r="1" spans="1:20" x14ac:dyDescent="0.2">
      <c r="A1" s="136" t="s">
        <v>100</v>
      </c>
    </row>
    <row r="2" spans="1:20" ht="13.5" thickBot="1" x14ac:dyDescent="0.25">
      <c r="A2" s="137" t="s">
        <v>101</v>
      </c>
      <c r="B2" s="90"/>
      <c r="C2" s="90"/>
      <c r="D2" s="9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165" t="s">
        <v>0</v>
      </c>
      <c r="R2" s="91"/>
    </row>
    <row r="3" spans="1:20" s="141" customFormat="1" ht="11.25" x14ac:dyDescent="0.15">
      <c r="A3" s="138"/>
      <c r="B3" s="139" t="s">
        <v>113</v>
      </c>
      <c r="C3" s="139"/>
      <c r="D3" s="139"/>
      <c r="E3" s="139" t="s">
        <v>24</v>
      </c>
      <c r="F3" s="139"/>
      <c r="G3" s="139"/>
      <c r="H3" s="139" t="s">
        <v>35</v>
      </c>
      <c r="I3" s="139"/>
      <c r="J3" s="139"/>
      <c r="K3" s="139" t="s">
        <v>114</v>
      </c>
      <c r="L3" s="139"/>
      <c r="M3" s="139"/>
      <c r="N3" s="140" t="s">
        <v>21</v>
      </c>
      <c r="O3" s="139" t="s">
        <v>1</v>
      </c>
      <c r="P3" s="139"/>
      <c r="Q3" s="139"/>
      <c r="R3" s="140"/>
    </row>
    <row r="4" spans="1:20" s="141" customFormat="1" ht="11.25" x14ac:dyDescent="0.15">
      <c r="A4" s="138" t="s">
        <v>15</v>
      </c>
      <c r="B4" s="142" t="s">
        <v>47</v>
      </c>
      <c r="C4" s="142"/>
      <c r="D4" s="142"/>
      <c r="E4" s="142" t="s">
        <v>48</v>
      </c>
      <c r="F4" s="142"/>
      <c r="G4" s="142"/>
      <c r="H4" s="142" t="s">
        <v>27</v>
      </c>
      <c r="I4" s="142"/>
      <c r="J4" s="142"/>
      <c r="K4" s="142" t="s">
        <v>115</v>
      </c>
      <c r="L4" s="142"/>
      <c r="M4" s="142"/>
      <c r="N4" s="143" t="s">
        <v>21</v>
      </c>
      <c r="O4" s="142" t="s">
        <v>1</v>
      </c>
      <c r="P4" s="142"/>
      <c r="Q4" s="142"/>
    </row>
    <row r="5" spans="1:20" s="141" customFormat="1" ht="11.25" thickBot="1" x14ac:dyDescent="0.2">
      <c r="A5" s="144"/>
      <c r="B5" s="145" t="s">
        <v>31</v>
      </c>
      <c r="C5" s="145" t="s">
        <v>30</v>
      </c>
      <c r="D5" s="145" t="s">
        <v>1</v>
      </c>
      <c r="E5" s="145" t="s">
        <v>23</v>
      </c>
      <c r="F5" s="145" t="s">
        <v>2</v>
      </c>
      <c r="G5" s="145" t="s">
        <v>1</v>
      </c>
      <c r="H5" s="145" t="s">
        <v>23</v>
      </c>
      <c r="I5" s="145" t="s">
        <v>2</v>
      </c>
      <c r="J5" s="145" t="s">
        <v>1</v>
      </c>
      <c r="K5" s="145" t="s">
        <v>23</v>
      </c>
      <c r="L5" s="145" t="s">
        <v>2</v>
      </c>
      <c r="M5" s="145" t="s">
        <v>1</v>
      </c>
      <c r="N5" s="145" t="s">
        <v>23</v>
      </c>
      <c r="O5" s="145" t="s">
        <v>23</v>
      </c>
      <c r="P5" s="145" t="s">
        <v>2</v>
      </c>
      <c r="Q5" s="145" t="s">
        <v>1</v>
      </c>
      <c r="R5" s="146"/>
    </row>
    <row r="6" spans="1:20" s="141" customFormat="1" ht="10.5" x14ac:dyDescent="0.15">
      <c r="A6" s="138">
        <v>1974</v>
      </c>
      <c r="B6" s="147">
        <v>13224</v>
      </c>
      <c r="C6" s="147">
        <v>500</v>
      </c>
      <c r="D6" s="147">
        <v>13724</v>
      </c>
      <c r="E6" s="147">
        <v>2489</v>
      </c>
      <c r="F6" s="147">
        <v>1920</v>
      </c>
      <c r="G6" s="147">
        <v>4409</v>
      </c>
      <c r="H6" s="147">
        <v>0</v>
      </c>
      <c r="I6" s="147">
        <v>0</v>
      </c>
      <c r="J6" s="147">
        <v>0</v>
      </c>
      <c r="K6" s="147">
        <v>0</v>
      </c>
      <c r="L6" s="147">
        <v>0</v>
      </c>
      <c r="M6" s="147">
        <v>0</v>
      </c>
      <c r="N6" s="147">
        <v>0</v>
      </c>
      <c r="O6" s="147">
        <v>15713</v>
      </c>
      <c r="P6" s="147">
        <v>2420</v>
      </c>
      <c r="Q6" s="147">
        <v>18133</v>
      </c>
      <c r="R6" s="148"/>
      <c r="T6" s="149"/>
    </row>
    <row r="7" spans="1:20" s="141" customFormat="1" ht="10.5" x14ac:dyDescent="0.15">
      <c r="A7" s="138">
        <v>1975</v>
      </c>
      <c r="B7" s="147">
        <v>15815</v>
      </c>
      <c r="C7" s="147">
        <v>501</v>
      </c>
      <c r="D7" s="147">
        <v>16316</v>
      </c>
      <c r="E7" s="147">
        <v>2436</v>
      </c>
      <c r="F7" s="147">
        <v>2216</v>
      </c>
      <c r="G7" s="147">
        <v>4652</v>
      </c>
      <c r="H7" s="147">
        <v>0</v>
      </c>
      <c r="I7" s="147">
        <v>0</v>
      </c>
      <c r="J7" s="147">
        <v>0</v>
      </c>
      <c r="K7" s="147">
        <v>0</v>
      </c>
      <c r="L7" s="147">
        <v>0</v>
      </c>
      <c r="M7" s="147">
        <v>0</v>
      </c>
      <c r="N7" s="147">
        <v>0</v>
      </c>
      <c r="O7" s="147">
        <v>18251</v>
      </c>
      <c r="P7" s="147">
        <v>2717</v>
      </c>
      <c r="Q7" s="147">
        <v>20968</v>
      </c>
      <c r="R7" s="150"/>
      <c r="T7" s="149"/>
    </row>
    <row r="8" spans="1:20" s="141" customFormat="1" ht="10.5" x14ac:dyDescent="0.15">
      <c r="A8" s="138">
        <v>1976</v>
      </c>
      <c r="B8" s="147">
        <v>17343</v>
      </c>
      <c r="C8" s="147">
        <v>561</v>
      </c>
      <c r="D8" s="147">
        <v>17904</v>
      </c>
      <c r="E8" s="147">
        <v>2457</v>
      </c>
      <c r="F8" s="147">
        <v>2223</v>
      </c>
      <c r="G8" s="147">
        <v>4680</v>
      </c>
      <c r="H8" s="147">
        <v>0</v>
      </c>
      <c r="I8" s="147">
        <v>0</v>
      </c>
      <c r="J8" s="147">
        <v>0</v>
      </c>
      <c r="K8" s="147">
        <v>0</v>
      </c>
      <c r="L8" s="147">
        <v>0</v>
      </c>
      <c r="M8" s="147">
        <v>0</v>
      </c>
      <c r="N8" s="147">
        <v>0</v>
      </c>
      <c r="O8" s="147">
        <v>19800</v>
      </c>
      <c r="P8" s="147">
        <v>2784</v>
      </c>
      <c r="Q8" s="147">
        <v>22584</v>
      </c>
      <c r="R8" s="150"/>
      <c r="T8" s="149"/>
    </row>
    <row r="9" spans="1:20" s="141" customFormat="1" ht="10.5" x14ac:dyDescent="0.15">
      <c r="A9" s="138">
        <v>1977</v>
      </c>
      <c r="B9" s="147">
        <v>18835</v>
      </c>
      <c r="C9" s="147">
        <v>561</v>
      </c>
      <c r="D9" s="147">
        <v>19396</v>
      </c>
      <c r="E9" s="147">
        <v>2729</v>
      </c>
      <c r="F9" s="147">
        <v>2214</v>
      </c>
      <c r="G9" s="147">
        <v>4943</v>
      </c>
      <c r="H9" s="147">
        <v>0</v>
      </c>
      <c r="I9" s="147">
        <v>0</v>
      </c>
      <c r="J9" s="147">
        <v>0</v>
      </c>
      <c r="K9" s="147">
        <v>0</v>
      </c>
      <c r="L9" s="147">
        <v>0</v>
      </c>
      <c r="M9" s="147">
        <v>0</v>
      </c>
      <c r="N9" s="147">
        <v>0</v>
      </c>
      <c r="O9" s="147">
        <v>21564</v>
      </c>
      <c r="P9" s="147">
        <v>2775</v>
      </c>
      <c r="Q9" s="147">
        <v>24339</v>
      </c>
      <c r="R9" s="150"/>
      <c r="T9" s="149"/>
    </row>
    <row r="10" spans="1:20" s="141" customFormat="1" ht="10.5" x14ac:dyDescent="0.15">
      <c r="A10" s="138">
        <v>1978</v>
      </c>
      <c r="B10" s="147">
        <v>21104</v>
      </c>
      <c r="C10" s="147">
        <v>561</v>
      </c>
      <c r="D10" s="147">
        <v>21665</v>
      </c>
      <c r="E10" s="147">
        <v>3048</v>
      </c>
      <c r="F10" s="147">
        <v>2259</v>
      </c>
      <c r="G10" s="147">
        <v>5307</v>
      </c>
      <c r="H10" s="147">
        <v>0</v>
      </c>
      <c r="I10" s="147">
        <v>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24152</v>
      </c>
      <c r="P10" s="147">
        <v>2820</v>
      </c>
      <c r="Q10" s="147">
        <v>26972</v>
      </c>
      <c r="R10" s="150"/>
      <c r="T10" s="149"/>
    </row>
    <row r="11" spans="1:20" s="141" customFormat="1" ht="10.5" x14ac:dyDescent="0.15">
      <c r="A11" s="138">
        <v>1979</v>
      </c>
      <c r="B11" s="147">
        <v>23667</v>
      </c>
      <c r="C11" s="147">
        <v>568</v>
      </c>
      <c r="D11" s="147">
        <v>24235</v>
      </c>
      <c r="E11" s="147">
        <v>3573</v>
      </c>
      <c r="F11" s="147">
        <v>2411</v>
      </c>
      <c r="G11" s="147">
        <v>5984</v>
      </c>
      <c r="H11" s="147">
        <v>0</v>
      </c>
      <c r="I11" s="147">
        <v>0</v>
      </c>
      <c r="J11" s="147">
        <v>0</v>
      </c>
      <c r="K11" s="147">
        <v>0</v>
      </c>
      <c r="L11" s="147">
        <v>0</v>
      </c>
      <c r="M11" s="147">
        <v>0</v>
      </c>
      <c r="N11" s="147">
        <v>0</v>
      </c>
      <c r="O11" s="147">
        <v>27240</v>
      </c>
      <c r="P11" s="147">
        <v>2979</v>
      </c>
      <c r="Q11" s="147">
        <v>30219</v>
      </c>
      <c r="R11" s="150"/>
      <c r="T11" s="149"/>
    </row>
    <row r="12" spans="1:20" s="141" customFormat="1" ht="10.5" x14ac:dyDescent="0.15">
      <c r="A12" s="138">
        <v>1980</v>
      </c>
      <c r="B12" s="147">
        <v>27081</v>
      </c>
      <c r="C12" s="147">
        <v>568</v>
      </c>
      <c r="D12" s="147">
        <v>27649</v>
      </c>
      <c r="E12" s="147">
        <v>3484</v>
      </c>
      <c r="F12" s="147">
        <v>2339</v>
      </c>
      <c r="G12" s="147">
        <v>5823</v>
      </c>
      <c r="H12" s="147">
        <v>0</v>
      </c>
      <c r="I12" s="147">
        <v>0</v>
      </c>
      <c r="J12" s="147">
        <v>0</v>
      </c>
      <c r="K12" s="147">
        <v>0</v>
      </c>
      <c r="L12" s="147">
        <v>0</v>
      </c>
      <c r="M12" s="147">
        <v>0</v>
      </c>
      <c r="N12" s="147">
        <v>0</v>
      </c>
      <c r="O12" s="147">
        <v>30565</v>
      </c>
      <c r="P12" s="147">
        <v>2907</v>
      </c>
      <c r="Q12" s="147">
        <v>33472</v>
      </c>
      <c r="R12" s="150"/>
      <c r="T12" s="149"/>
    </row>
    <row r="13" spans="1:20" s="141" customFormat="1" ht="10.5" x14ac:dyDescent="0.15">
      <c r="A13" s="138">
        <v>1981</v>
      </c>
      <c r="B13" s="147">
        <v>30596</v>
      </c>
      <c r="C13" s="147">
        <v>577</v>
      </c>
      <c r="D13" s="147">
        <v>31173</v>
      </c>
      <c r="E13" s="147">
        <v>3655</v>
      </c>
      <c r="F13" s="147">
        <v>2441</v>
      </c>
      <c r="G13" s="147">
        <v>6096</v>
      </c>
      <c r="H13" s="147">
        <v>0</v>
      </c>
      <c r="I13" s="147">
        <v>0</v>
      </c>
      <c r="J13" s="147">
        <v>0</v>
      </c>
      <c r="K13" s="147">
        <v>0</v>
      </c>
      <c r="L13" s="147">
        <v>0</v>
      </c>
      <c r="M13" s="147">
        <v>0</v>
      </c>
      <c r="N13" s="147">
        <v>0</v>
      </c>
      <c r="O13" s="147">
        <v>34251</v>
      </c>
      <c r="P13" s="147">
        <v>3018</v>
      </c>
      <c r="Q13" s="147">
        <v>37269</v>
      </c>
      <c r="R13" s="150"/>
      <c r="T13" s="149"/>
    </row>
    <row r="14" spans="1:20" s="141" customFormat="1" ht="10.5" x14ac:dyDescent="0.15">
      <c r="A14" s="138">
        <v>1982</v>
      </c>
      <c r="B14" s="147">
        <v>32542</v>
      </c>
      <c r="C14" s="147">
        <v>614</v>
      </c>
      <c r="D14" s="147">
        <v>33156</v>
      </c>
      <c r="E14" s="147">
        <v>3687</v>
      </c>
      <c r="F14" s="147">
        <v>2503</v>
      </c>
      <c r="G14" s="147">
        <v>6190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47">
        <v>0</v>
      </c>
      <c r="N14" s="147">
        <v>0</v>
      </c>
      <c r="O14" s="147">
        <v>36229</v>
      </c>
      <c r="P14" s="147">
        <v>3117</v>
      </c>
      <c r="Q14" s="147">
        <v>39346</v>
      </c>
      <c r="R14" s="150"/>
      <c r="T14" s="149"/>
    </row>
    <row r="15" spans="1:20" s="141" customFormat="1" ht="10.5" x14ac:dyDescent="0.15">
      <c r="A15" s="138">
        <v>1983</v>
      </c>
      <c r="B15" s="147">
        <v>33556</v>
      </c>
      <c r="C15" s="147">
        <v>622</v>
      </c>
      <c r="D15" s="147">
        <v>34178</v>
      </c>
      <c r="E15" s="147">
        <v>3641</v>
      </c>
      <c r="F15" s="147">
        <v>2547</v>
      </c>
      <c r="G15" s="147">
        <v>6188</v>
      </c>
      <c r="H15" s="147">
        <v>0</v>
      </c>
      <c r="I15" s="147">
        <v>0</v>
      </c>
      <c r="J15" s="147">
        <v>0</v>
      </c>
      <c r="K15" s="147">
        <v>0</v>
      </c>
      <c r="L15" s="147">
        <v>0</v>
      </c>
      <c r="M15" s="147">
        <v>0</v>
      </c>
      <c r="N15" s="147">
        <v>0</v>
      </c>
      <c r="O15" s="147">
        <v>37197</v>
      </c>
      <c r="P15" s="147">
        <v>3169</v>
      </c>
      <c r="Q15" s="147">
        <v>40366</v>
      </c>
      <c r="R15" s="150"/>
      <c r="T15" s="149"/>
    </row>
    <row r="16" spans="1:20" s="141" customFormat="1" ht="10.5" x14ac:dyDescent="0.15">
      <c r="A16" s="138">
        <v>1984</v>
      </c>
      <c r="B16" s="147">
        <v>34301</v>
      </c>
      <c r="C16" s="147">
        <v>622</v>
      </c>
      <c r="D16" s="147">
        <v>34923</v>
      </c>
      <c r="E16" s="147">
        <v>3626</v>
      </c>
      <c r="F16" s="147">
        <v>2547</v>
      </c>
      <c r="G16" s="147">
        <v>6173</v>
      </c>
      <c r="H16" s="147">
        <v>0</v>
      </c>
      <c r="I16" s="147">
        <v>0</v>
      </c>
      <c r="J16" s="147">
        <v>0</v>
      </c>
      <c r="K16" s="147">
        <v>0</v>
      </c>
      <c r="L16" s="147">
        <v>0</v>
      </c>
      <c r="M16" s="147">
        <v>0</v>
      </c>
      <c r="N16" s="147">
        <v>0</v>
      </c>
      <c r="O16" s="147">
        <v>37927</v>
      </c>
      <c r="P16" s="147">
        <v>3169</v>
      </c>
      <c r="Q16" s="147">
        <v>41096</v>
      </c>
      <c r="R16" s="150"/>
      <c r="T16" s="149"/>
    </row>
    <row r="17" spans="1:20" s="141" customFormat="1" ht="10.5" x14ac:dyDescent="0.15">
      <c r="A17" s="138">
        <v>1985</v>
      </c>
      <c r="B17" s="147">
        <v>36453</v>
      </c>
      <c r="C17" s="147">
        <v>624</v>
      </c>
      <c r="D17" s="147">
        <v>37077</v>
      </c>
      <c r="E17" s="147">
        <v>3708</v>
      </c>
      <c r="F17" s="147">
        <v>2665</v>
      </c>
      <c r="G17" s="147">
        <v>6373</v>
      </c>
      <c r="H17" s="147">
        <v>0</v>
      </c>
      <c r="I17" s="147">
        <v>0</v>
      </c>
      <c r="J17" s="147">
        <v>0</v>
      </c>
      <c r="K17" s="147">
        <v>0</v>
      </c>
      <c r="L17" s="147">
        <v>0</v>
      </c>
      <c r="M17" s="147">
        <v>0</v>
      </c>
      <c r="N17" s="147">
        <v>657</v>
      </c>
      <c r="O17" s="147">
        <v>40818</v>
      </c>
      <c r="P17" s="147">
        <v>3289</v>
      </c>
      <c r="Q17" s="147">
        <v>44107</v>
      </c>
      <c r="R17" s="150"/>
      <c r="T17" s="149"/>
    </row>
    <row r="18" spans="1:20" s="141" customFormat="1" ht="10.5" x14ac:dyDescent="0.15">
      <c r="A18" s="138">
        <v>1986</v>
      </c>
      <c r="B18" s="147">
        <v>37162</v>
      </c>
      <c r="C18" s="147">
        <v>624</v>
      </c>
      <c r="D18" s="147">
        <v>37786</v>
      </c>
      <c r="E18" s="147">
        <v>3845</v>
      </c>
      <c r="F18" s="147">
        <v>2665</v>
      </c>
      <c r="G18" s="147">
        <v>6510</v>
      </c>
      <c r="H18" s="147">
        <v>0</v>
      </c>
      <c r="I18" s="147">
        <v>0</v>
      </c>
      <c r="J18" s="147">
        <v>0</v>
      </c>
      <c r="K18" s="147">
        <v>0</v>
      </c>
      <c r="L18" s="147">
        <v>0</v>
      </c>
      <c r="M18" s="147">
        <v>0</v>
      </c>
      <c r="N18" s="147">
        <v>657</v>
      </c>
      <c r="O18" s="147">
        <v>41664</v>
      </c>
      <c r="P18" s="147">
        <v>3289</v>
      </c>
      <c r="Q18" s="147">
        <v>44953</v>
      </c>
      <c r="R18" s="150"/>
      <c r="T18" s="149"/>
    </row>
    <row r="19" spans="1:20" s="141" customFormat="1" ht="10.5" x14ac:dyDescent="0.15">
      <c r="A19" s="138">
        <v>1987</v>
      </c>
      <c r="B19" s="147">
        <v>39693</v>
      </c>
      <c r="C19" s="147">
        <v>636</v>
      </c>
      <c r="D19" s="147">
        <v>40329</v>
      </c>
      <c r="E19" s="147">
        <v>3910</v>
      </c>
      <c r="F19" s="147">
        <v>2665</v>
      </c>
      <c r="G19" s="147">
        <v>6575</v>
      </c>
      <c r="H19" s="147">
        <v>0</v>
      </c>
      <c r="I19" s="147">
        <v>0</v>
      </c>
      <c r="J19" s="147">
        <v>0</v>
      </c>
      <c r="K19" s="147">
        <v>0</v>
      </c>
      <c r="L19" s="147">
        <v>0</v>
      </c>
      <c r="M19" s="147">
        <v>0</v>
      </c>
      <c r="N19" s="147">
        <v>657</v>
      </c>
      <c r="O19" s="147">
        <v>44260</v>
      </c>
      <c r="P19" s="147">
        <v>3301</v>
      </c>
      <c r="Q19" s="147">
        <v>47561</v>
      </c>
      <c r="R19" s="150"/>
      <c r="T19" s="149"/>
    </row>
    <row r="20" spans="1:20" s="141" customFormat="1" ht="10.5" x14ac:dyDescent="0.15">
      <c r="A20" s="138">
        <v>1988</v>
      </c>
      <c r="B20" s="147">
        <v>41583</v>
      </c>
      <c r="C20" s="147">
        <v>645</v>
      </c>
      <c r="D20" s="147">
        <v>42228</v>
      </c>
      <c r="E20" s="147">
        <v>4025</v>
      </c>
      <c r="F20" s="147">
        <v>2665</v>
      </c>
      <c r="G20" s="147">
        <v>6690</v>
      </c>
      <c r="H20" s="147">
        <v>0</v>
      </c>
      <c r="I20" s="147">
        <v>0</v>
      </c>
      <c r="J20" s="147">
        <v>0</v>
      </c>
      <c r="K20" s="147">
        <v>0</v>
      </c>
      <c r="L20" s="147">
        <v>0</v>
      </c>
      <c r="M20" s="147">
        <v>0</v>
      </c>
      <c r="N20" s="147">
        <v>657</v>
      </c>
      <c r="O20" s="147">
        <v>46265</v>
      </c>
      <c r="P20" s="147">
        <v>3310</v>
      </c>
      <c r="Q20" s="147">
        <v>49575</v>
      </c>
      <c r="R20" s="150"/>
      <c r="T20" s="149"/>
    </row>
    <row r="21" spans="1:20" s="141" customFormat="1" ht="10.5" x14ac:dyDescent="0.15">
      <c r="A21" s="138">
        <v>1989</v>
      </c>
      <c r="B21" s="147">
        <v>44172</v>
      </c>
      <c r="C21" s="147">
        <v>624</v>
      </c>
      <c r="D21" s="147">
        <v>44796</v>
      </c>
      <c r="E21" s="147">
        <v>4007</v>
      </c>
      <c r="F21" s="147">
        <v>2665</v>
      </c>
      <c r="G21" s="147">
        <v>6672</v>
      </c>
      <c r="H21" s="147">
        <v>0</v>
      </c>
      <c r="I21" s="147">
        <v>0</v>
      </c>
      <c r="J21" s="147">
        <v>0</v>
      </c>
      <c r="K21" s="147">
        <v>0</v>
      </c>
      <c r="L21" s="147">
        <v>0</v>
      </c>
      <c r="M21" s="147">
        <v>0</v>
      </c>
      <c r="N21" s="147">
        <v>657</v>
      </c>
      <c r="O21" s="147">
        <v>48836</v>
      </c>
      <c r="P21" s="147">
        <v>3289</v>
      </c>
      <c r="Q21" s="147">
        <v>52125</v>
      </c>
      <c r="R21" s="150"/>
      <c r="T21" s="149"/>
    </row>
    <row r="22" spans="1:20" s="141" customFormat="1" ht="10.5" x14ac:dyDescent="0.15">
      <c r="A22" s="138">
        <v>1990</v>
      </c>
      <c r="B22" s="147">
        <v>44934</v>
      </c>
      <c r="C22" s="147">
        <v>624</v>
      </c>
      <c r="D22" s="147">
        <v>45558</v>
      </c>
      <c r="E22" s="147">
        <v>4170</v>
      </c>
      <c r="F22" s="147">
        <v>2665</v>
      </c>
      <c r="G22" s="147">
        <v>6835</v>
      </c>
      <c r="H22" s="147">
        <v>0</v>
      </c>
      <c r="I22" s="147">
        <v>0</v>
      </c>
      <c r="J22" s="147">
        <v>0</v>
      </c>
      <c r="K22" s="147">
        <v>0</v>
      </c>
      <c r="L22" s="147">
        <v>0</v>
      </c>
      <c r="M22" s="147">
        <v>0</v>
      </c>
      <c r="N22" s="147">
        <v>657</v>
      </c>
      <c r="O22" s="147">
        <v>49761</v>
      </c>
      <c r="P22" s="147">
        <v>3289</v>
      </c>
      <c r="Q22" s="147">
        <v>53050</v>
      </c>
      <c r="R22" s="150"/>
      <c r="T22" s="149"/>
    </row>
    <row r="23" spans="1:20" s="141" customFormat="1" ht="10.5" x14ac:dyDescent="0.15">
      <c r="A23" s="138">
        <v>1991</v>
      </c>
      <c r="B23" s="147">
        <v>45992</v>
      </c>
      <c r="C23" s="147">
        <v>624</v>
      </c>
      <c r="D23" s="147">
        <v>46616</v>
      </c>
      <c r="E23" s="147">
        <v>4203</v>
      </c>
      <c r="F23" s="147">
        <v>2665</v>
      </c>
      <c r="G23" s="147">
        <v>6868</v>
      </c>
      <c r="H23" s="147">
        <v>0</v>
      </c>
      <c r="I23" s="147">
        <v>0</v>
      </c>
      <c r="J23" s="147">
        <v>0</v>
      </c>
      <c r="K23" s="147">
        <v>0</v>
      </c>
      <c r="L23" s="147">
        <v>0</v>
      </c>
      <c r="M23" s="147">
        <v>0</v>
      </c>
      <c r="N23" s="147">
        <v>657</v>
      </c>
      <c r="O23" s="147">
        <v>50852</v>
      </c>
      <c r="P23" s="147">
        <v>3289</v>
      </c>
      <c r="Q23" s="147">
        <v>54141</v>
      </c>
      <c r="R23" s="150"/>
      <c r="T23" s="149"/>
    </row>
    <row r="24" spans="1:20" s="141" customFormat="1" ht="10.5" x14ac:dyDescent="0.15">
      <c r="A24" s="138">
        <v>1992</v>
      </c>
      <c r="B24" s="147">
        <v>47085</v>
      </c>
      <c r="C24" s="147">
        <v>624</v>
      </c>
      <c r="D24" s="147">
        <v>47709</v>
      </c>
      <c r="E24" s="147">
        <v>4018.5</v>
      </c>
      <c r="F24" s="147">
        <v>2665</v>
      </c>
      <c r="G24" s="147">
        <v>6683.5</v>
      </c>
      <c r="H24" s="147">
        <v>7.4999999999999997E-2</v>
      </c>
      <c r="I24" s="147">
        <v>0</v>
      </c>
      <c r="J24" s="147">
        <v>7.4999999999999997E-2</v>
      </c>
      <c r="K24" s="147">
        <v>0</v>
      </c>
      <c r="L24" s="147">
        <v>0</v>
      </c>
      <c r="M24" s="147">
        <v>0</v>
      </c>
      <c r="N24" s="147">
        <v>657</v>
      </c>
      <c r="O24" s="147">
        <v>51760.574999999997</v>
      </c>
      <c r="P24" s="147">
        <v>3289</v>
      </c>
      <c r="Q24" s="147">
        <v>55049.574999999997</v>
      </c>
      <c r="R24" s="150"/>
      <c r="T24" s="149"/>
    </row>
    <row r="25" spans="1:20" s="141" customFormat="1" ht="10.5" x14ac:dyDescent="0.15">
      <c r="A25" s="138">
        <v>1993</v>
      </c>
      <c r="B25" s="147">
        <v>47967</v>
      </c>
      <c r="C25" s="147">
        <v>624</v>
      </c>
      <c r="D25" s="147">
        <v>48591</v>
      </c>
      <c r="E25" s="147">
        <v>4127.5</v>
      </c>
      <c r="F25" s="147">
        <v>2847</v>
      </c>
      <c r="G25" s="147">
        <v>6974.5</v>
      </c>
      <c r="H25" s="147">
        <v>7.4999999999999997E-2</v>
      </c>
      <c r="I25" s="147">
        <v>0</v>
      </c>
      <c r="J25" s="147">
        <v>7.4999999999999997E-2</v>
      </c>
      <c r="K25" s="147">
        <v>0</v>
      </c>
      <c r="L25" s="147">
        <v>0</v>
      </c>
      <c r="M25" s="147">
        <v>0</v>
      </c>
      <c r="N25" s="147">
        <v>657</v>
      </c>
      <c r="O25" s="147">
        <v>52751.574999999997</v>
      </c>
      <c r="P25" s="147">
        <v>3471</v>
      </c>
      <c r="Q25" s="147">
        <v>56222.574999999997</v>
      </c>
      <c r="R25" s="150"/>
      <c r="T25" s="149"/>
    </row>
    <row r="26" spans="1:20" s="141" customFormat="1" ht="10.5" x14ac:dyDescent="0.15">
      <c r="A26" s="138">
        <v>1994</v>
      </c>
      <c r="B26" s="147">
        <v>49297</v>
      </c>
      <c r="C26" s="147">
        <v>624</v>
      </c>
      <c r="D26" s="147">
        <v>49921</v>
      </c>
      <c r="E26" s="147">
        <v>4150.5</v>
      </c>
      <c r="F26" s="147">
        <v>2900</v>
      </c>
      <c r="G26" s="147">
        <v>7050.5</v>
      </c>
      <c r="H26" s="147">
        <v>1.075</v>
      </c>
      <c r="I26" s="147">
        <v>0</v>
      </c>
      <c r="J26" s="147">
        <v>1.075</v>
      </c>
      <c r="K26" s="147">
        <v>0</v>
      </c>
      <c r="L26" s="147">
        <v>0</v>
      </c>
      <c r="M26" s="147">
        <v>0</v>
      </c>
      <c r="N26" s="147">
        <v>657</v>
      </c>
      <c r="O26" s="147">
        <v>54105.574999999997</v>
      </c>
      <c r="P26" s="147">
        <v>3524</v>
      </c>
      <c r="Q26" s="147">
        <v>57629.574999999997</v>
      </c>
      <c r="R26" s="150"/>
      <c r="T26" s="149"/>
    </row>
    <row r="27" spans="1:20" s="141" customFormat="1" ht="10.5" x14ac:dyDescent="0.15">
      <c r="A27" s="138">
        <v>1995</v>
      </c>
      <c r="B27" s="147">
        <v>50680</v>
      </c>
      <c r="C27" s="147">
        <v>687</v>
      </c>
      <c r="D27" s="147">
        <v>51367</v>
      </c>
      <c r="E27" s="147">
        <v>4196.5</v>
      </c>
      <c r="F27" s="147">
        <v>2900</v>
      </c>
      <c r="G27" s="147">
        <v>7096.5</v>
      </c>
      <c r="H27" s="147">
        <v>1.075</v>
      </c>
      <c r="I27" s="147">
        <v>0</v>
      </c>
      <c r="J27" s="147">
        <v>1.075</v>
      </c>
      <c r="K27" s="147">
        <v>0</v>
      </c>
      <c r="L27" s="147">
        <v>0</v>
      </c>
      <c r="M27" s="147">
        <v>0</v>
      </c>
      <c r="N27" s="147">
        <v>657</v>
      </c>
      <c r="O27" s="147">
        <v>55534.574999999997</v>
      </c>
      <c r="P27" s="147">
        <v>3587</v>
      </c>
      <c r="Q27" s="147">
        <v>59121.574999999997</v>
      </c>
      <c r="R27" s="150"/>
      <c r="T27" s="149"/>
    </row>
    <row r="28" spans="1:20" s="141" customFormat="1" ht="10.5" x14ac:dyDescent="0.15">
      <c r="A28" s="138">
        <v>1996</v>
      </c>
      <c r="B28" s="147">
        <v>52432</v>
      </c>
      <c r="C28" s="147">
        <v>687</v>
      </c>
      <c r="D28" s="147">
        <v>53119</v>
      </c>
      <c r="E28" s="147">
        <v>4104.5</v>
      </c>
      <c r="F28" s="147">
        <v>2920</v>
      </c>
      <c r="G28" s="147">
        <v>7024.5</v>
      </c>
      <c r="H28" s="147">
        <v>1.075</v>
      </c>
      <c r="I28" s="147">
        <v>0</v>
      </c>
      <c r="J28" s="147">
        <v>1.075</v>
      </c>
      <c r="K28" s="147">
        <v>0</v>
      </c>
      <c r="L28" s="147">
        <v>0</v>
      </c>
      <c r="M28" s="147">
        <v>0</v>
      </c>
      <c r="N28" s="147">
        <v>657</v>
      </c>
      <c r="O28" s="147">
        <v>57194.574999999997</v>
      </c>
      <c r="P28" s="147">
        <v>3607</v>
      </c>
      <c r="Q28" s="147">
        <v>60801.574999999997</v>
      </c>
      <c r="R28" s="150"/>
      <c r="T28" s="149"/>
    </row>
    <row r="29" spans="1:20" s="141" customFormat="1" ht="10.5" x14ac:dyDescent="0.15">
      <c r="A29" s="138">
        <v>1997</v>
      </c>
      <c r="B29" s="147">
        <v>53987</v>
      </c>
      <c r="C29" s="147">
        <v>902</v>
      </c>
      <c r="D29" s="147">
        <v>54889</v>
      </c>
      <c r="E29" s="147">
        <v>4505.5</v>
      </c>
      <c r="F29" s="147">
        <v>2920</v>
      </c>
      <c r="G29" s="147">
        <v>7425.5</v>
      </c>
      <c r="H29" s="147">
        <v>1.075</v>
      </c>
      <c r="I29" s="147">
        <v>0</v>
      </c>
      <c r="J29" s="147">
        <v>1.075</v>
      </c>
      <c r="K29" s="147">
        <v>0</v>
      </c>
      <c r="L29" s="147">
        <v>0</v>
      </c>
      <c r="M29" s="147">
        <v>0</v>
      </c>
      <c r="N29" s="147">
        <v>657</v>
      </c>
      <c r="O29" s="147">
        <v>59150.574999999997</v>
      </c>
      <c r="P29" s="147">
        <v>3822</v>
      </c>
      <c r="Q29" s="147">
        <v>62972.574999999997</v>
      </c>
      <c r="R29" s="150"/>
      <c r="T29" s="149"/>
    </row>
    <row r="30" spans="1:20" s="141" customFormat="1" ht="10.5" x14ac:dyDescent="0.15">
      <c r="A30" s="138">
        <v>1998</v>
      </c>
      <c r="B30" s="147">
        <v>55857</v>
      </c>
      <c r="C30" s="147">
        <v>902</v>
      </c>
      <c r="D30" s="147">
        <v>56759</v>
      </c>
      <c r="E30" s="147">
        <v>4792.5</v>
      </c>
      <c r="F30" s="147">
        <v>2995</v>
      </c>
      <c r="G30" s="147">
        <v>7787.5</v>
      </c>
      <c r="H30" s="147">
        <v>6.0750000000000002</v>
      </c>
      <c r="I30" s="147">
        <v>0</v>
      </c>
      <c r="J30" s="147">
        <v>6.0750000000000002</v>
      </c>
      <c r="K30" s="147">
        <v>0</v>
      </c>
      <c r="L30" s="147">
        <v>0</v>
      </c>
      <c r="M30" s="147">
        <v>0</v>
      </c>
      <c r="N30" s="147">
        <v>657</v>
      </c>
      <c r="O30" s="147">
        <v>61312.574999999997</v>
      </c>
      <c r="P30" s="147">
        <v>3897</v>
      </c>
      <c r="Q30" s="147">
        <v>65209.574999999997</v>
      </c>
      <c r="R30" s="150"/>
      <c r="T30" s="149"/>
    </row>
    <row r="31" spans="1:20" s="141" customFormat="1" ht="10.5" x14ac:dyDescent="0.15">
      <c r="A31" s="138">
        <v>1999</v>
      </c>
      <c r="B31" s="147">
        <v>58085</v>
      </c>
      <c r="C31" s="147">
        <v>912</v>
      </c>
      <c r="D31" s="147">
        <v>58997</v>
      </c>
      <c r="E31" s="147">
        <v>5198</v>
      </c>
      <c r="F31" s="147">
        <v>3309</v>
      </c>
      <c r="G31" s="147">
        <v>8507</v>
      </c>
      <c r="H31" s="147">
        <v>18.8</v>
      </c>
      <c r="I31" s="147">
        <v>0</v>
      </c>
      <c r="J31" s="147">
        <v>18.8</v>
      </c>
      <c r="K31" s="147">
        <v>0</v>
      </c>
      <c r="L31" s="147">
        <v>0</v>
      </c>
      <c r="M31" s="147">
        <v>0</v>
      </c>
      <c r="N31" s="147">
        <v>657</v>
      </c>
      <c r="O31" s="147">
        <v>63958.8</v>
      </c>
      <c r="P31" s="147">
        <v>4221</v>
      </c>
      <c r="Q31" s="147">
        <v>68179.8</v>
      </c>
      <c r="R31" s="150"/>
      <c r="T31" s="149"/>
    </row>
    <row r="32" spans="1:20" s="141" customFormat="1" ht="10.5" x14ac:dyDescent="0.15">
      <c r="A32" s="138">
        <v>2000</v>
      </c>
      <c r="B32" s="147">
        <v>60095</v>
      </c>
      <c r="C32" s="147">
        <v>968</v>
      </c>
      <c r="D32" s="147">
        <v>61063</v>
      </c>
      <c r="E32" s="147">
        <v>6548</v>
      </c>
      <c r="F32" s="147">
        <v>4075</v>
      </c>
      <c r="G32" s="147">
        <v>10623</v>
      </c>
      <c r="H32" s="147">
        <v>19.024999999999999</v>
      </c>
      <c r="I32" s="147">
        <v>0</v>
      </c>
      <c r="J32" s="147">
        <v>19.024999999999999</v>
      </c>
      <c r="K32" s="147">
        <v>0</v>
      </c>
      <c r="L32" s="147">
        <v>0</v>
      </c>
      <c r="M32" s="147">
        <v>0</v>
      </c>
      <c r="N32" s="147">
        <v>1966</v>
      </c>
      <c r="O32" s="147">
        <v>68628.024999999994</v>
      </c>
      <c r="P32" s="147">
        <v>5043</v>
      </c>
      <c r="Q32" s="147">
        <v>73671.024999999994</v>
      </c>
      <c r="R32" s="150"/>
      <c r="S32" s="151"/>
      <c r="T32" s="149"/>
    </row>
    <row r="33" spans="1:20" s="141" customFormat="1" ht="10.5" x14ac:dyDescent="0.15">
      <c r="A33" s="138">
        <v>2001</v>
      </c>
      <c r="B33" s="147">
        <v>61438.772275802505</v>
      </c>
      <c r="C33" s="147">
        <v>970.22772419749526</v>
      </c>
      <c r="D33" s="147">
        <v>62409</v>
      </c>
      <c r="E33" s="147">
        <v>6750.9601913548613</v>
      </c>
      <c r="F33" s="147">
        <v>3730.0398086451391</v>
      </c>
      <c r="G33" s="147">
        <v>10481</v>
      </c>
      <c r="H33" s="147">
        <v>21</v>
      </c>
      <c r="I33" s="147">
        <v>0</v>
      </c>
      <c r="J33" s="147">
        <v>21</v>
      </c>
      <c r="K33" s="147">
        <v>0</v>
      </c>
      <c r="L33" s="147">
        <v>0</v>
      </c>
      <c r="M33" s="147">
        <v>0</v>
      </c>
      <c r="N33" s="147">
        <v>1966</v>
      </c>
      <c r="O33" s="147">
        <v>70176.732467157359</v>
      </c>
      <c r="P33" s="147">
        <v>4700.267532842634</v>
      </c>
      <c r="Q33" s="147">
        <v>74877</v>
      </c>
      <c r="R33" s="150"/>
      <c r="T33" s="149"/>
    </row>
    <row r="34" spans="1:20" s="141" customFormat="1" ht="10.5" x14ac:dyDescent="0.15">
      <c r="A34" s="138">
        <v>2002</v>
      </c>
      <c r="B34" s="147">
        <v>63323.930180214666</v>
      </c>
      <c r="C34" s="147">
        <v>1150.0698197853349</v>
      </c>
      <c r="D34" s="147">
        <v>64474</v>
      </c>
      <c r="E34" s="147">
        <v>9714.2357454689773</v>
      </c>
      <c r="F34" s="147">
        <v>4098.7642545310227</v>
      </c>
      <c r="G34" s="147">
        <v>13813</v>
      </c>
      <c r="H34" s="147">
        <v>22</v>
      </c>
      <c r="I34" s="147">
        <v>0</v>
      </c>
      <c r="J34" s="147">
        <v>22</v>
      </c>
      <c r="K34" s="147">
        <v>0</v>
      </c>
      <c r="L34" s="147">
        <v>0</v>
      </c>
      <c r="M34" s="147">
        <v>0</v>
      </c>
      <c r="N34" s="147">
        <v>2007</v>
      </c>
      <c r="O34" s="147">
        <v>75067.165925683643</v>
      </c>
      <c r="P34" s="147">
        <v>5248.8340743163571</v>
      </c>
      <c r="Q34" s="147">
        <v>80316</v>
      </c>
      <c r="R34" s="150"/>
      <c r="T34" s="152"/>
    </row>
    <row r="35" spans="1:20" s="141" customFormat="1" ht="10.5" x14ac:dyDescent="0.15">
      <c r="A35" s="138">
        <v>2003</v>
      </c>
      <c r="B35" s="147">
        <v>66493.689997492373</v>
      </c>
      <c r="C35" s="147">
        <v>1204.3100025076335</v>
      </c>
      <c r="D35" s="147">
        <v>67698</v>
      </c>
      <c r="E35" s="147">
        <v>11291.869125306832</v>
      </c>
      <c r="F35" s="147">
        <v>4838.1308746931691</v>
      </c>
      <c r="G35" s="147">
        <v>16130</v>
      </c>
      <c r="H35" s="147">
        <v>22</v>
      </c>
      <c r="I35" s="147">
        <v>0</v>
      </c>
      <c r="J35" s="147">
        <v>22</v>
      </c>
      <c r="K35" s="147">
        <v>0</v>
      </c>
      <c r="L35" s="147">
        <v>0</v>
      </c>
      <c r="M35" s="147">
        <v>0</v>
      </c>
      <c r="N35" s="147">
        <v>2007</v>
      </c>
      <c r="O35" s="147">
        <v>79814.559122799197</v>
      </c>
      <c r="P35" s="147">
        <v>6042.4408772008028</v>
      </c>
      <c r="Q35" s="147">
        <v>85857</v>
      </c>
      <c r="R35" s="150"/>
      <c r="T35" s="152"/>
    </row>
    <row r="36" spans="1:20" s="141" customFormat="1" ht="10.5" x14ac:dyDescent="0.15">
      <c r="A36" s="138">
        <v>2004</v>
      </c>
      <c r="B36" s="147">
        <v>67659.159350135509</v>
      </c>
      <c r="C36" s="147">
        <v>1428.8406498644906</v>
      </c>
      <c r="D36" s="147">
        <v>69088</v>
      </c>
      <c r="E36" s="147">
        <v>14404.518326996198</v>
      </c>
      <c r="F36" s="147">
        <v>5151.4816730038028</v>
      </c>
      <c r="G36" s="147">
        <v>19556</v>
      </c>
      <c r="H36" s="147">
        <v>27.176419213973798</v>
      </c>
      <c r="I36" s="147">
        <v>1.823580786026201</v>
      </c>
      <c r="J36" s="147">
        <v>29</v>
      </c>
      <c r="K36" s="147">
        <v>0</v>
      </c>
      <c r="L36" s="147">
        <v>0</v>
      </c>
      <c r="M36" s="147">
        <v>0</v>
      </c>
      <c r="N36" s="147">
        <v>2007</v>
      </c>
      <c r="O36" s="147">
        <v>84097.854096345676</v>
      </c>
      <c r="P36" s="147">
        <v>6582.1459036543201</v>
      </c>
      <c r="Q36" s="147">
        <v>90680</v>
      </c>
      <c r="R36" s="150"/>
      <c r="T36" s="152"/>
    </row>
    <row r="37" spans="1:20" s="141" customFormat="1" ht="10.5" x14ac:dyDescent="0.15">
      <c r="A37" s="138">
        <v>2005</v>
      </c>
      <c r="B37" s="147">
        <v>69472.464823517788</v>
      </c>
      <c r="C37" s="147">
        <v>1587.5351764822108</v>
      </c>
      <c r="D37" s="147">
        <v>71060</v>
      </c>
      <c r="E37" s="147">
        <v>14626.521910777736</v>
      </c>
      <c r="F37" s="147">
        <v>5143.4780892222661</v>
      </c>
      <c r="G37" s="147">
        <v>19770</v>
      </c>
      <c r="H37" s="147">
        <v>27.176419213973798</v>
      </c>
      <c r="I37" s="147">
        <v>1.823580786026201</v>
      </c>
      <c r="J37" s="147">
        <v>29</v>
      </c>
      <c r="K37" s="147">
        <v>0</v>
      </c>
      <c r="L37" s="147">
        <v>0</v>
      </c>
      <c r="M37" s="147">
        <v>0</v>
      </c>
      <c r="N37" s="147">
        <v>2007</v>
      </c>
      <c r="O37" s="147">
        <v>86133.163153509493</v>
      </c>
      <c r="P37" s="147">
        <v>6732.8368464905034</v>
      </c>
      <c r="Q37" s="147">
        <v>92866</v>
      </c>
      <c r="R37" s="150"/>
      <c r="T37" s="152"/>
    </row>
    <row r="38" spans="1:20" s="141" customFormat="1" ht="10.5" x14ac:dyDescent="0.15">
      <c r="A38" s="138">
        <v>2006</v>
      </c>
      <c r="B38" s="147">
        <v>72006.441599825688</v>
      </c>
      <c r="C38" s="147">
        <v>1671.5584001743086</v>
      </c>
      <c r="D38" s="147">
        <v>73678</v>
      </c>
      <c r="E38" s="147">
        <v>13886.244214343655</v>
      </c>
      <c r="F38" s="147">
        <v>6485.7557856563435</v>
      </c>
      <c r="G38" s="147">
        <v>20372</v>
      </c>
      <c r="H38" s="147">
        <v>235</v>
      </c>
      <c r="I38" s="147">
        <v>1.9999999999999998</v>
      </c>
      <c r="J38" s="147">
        <v>237</v>
      </c>
      <c r="K38" s="147">
        <v>0</v>
      </c>
      <c r="L38" s="147">
        <v>0</v>
      </c>
      <c r="M38" s="147">
        <v>0</v>
      </c>
      <c r="N38" s="147">
        <v>2007</v>
      </c>
      <c r="O38" s="147">
        <v>88134.685814169337</v>
      </c>
      <c r="P38" s="147">
        <v>8159.3141858306517</v>
      </c>
      <c r="Q38" s="147">
        <v>96293.999999999985</v>
      </c>
      <c r="R38" s="150"/>
      <c r="T38" s="152"/>
    </row>
    <row r="39" spans="1:20" s="141" customFormat="1" ht="10.5" x14ac:dyDescent="0.15">
      <c r="A39" s="138">
        <v>2007</v>
      </c>
      <c r="B39" s="147">
        <v>73620.084531227636</v>
      </c>
      <c r="C39" s="147">
        <v>3248.915468772359</v>
      </c>
      <c r="D39" s="147">
        <v>76869</v>
      </c>
      <c r="E39" s="147">
        <v>14205.759906213365</v>
      </c>
      <c r="F39" s="147">
        <v>7023.240093786636</v>
      </c>
      <c r="G39" s="147">
        <v>21229</v>
      </c>
      <c r="H39" s="147">
        <v>245.20036429872496</v>
      </c>
      <c r="I39" s="147">
        <v>1.7996357012750457</v>
      </c>
      <c r="J39" s="147">
        <v>247</v>
      </c>
      <c r="K39" s="147">
        <v>0</v>
      </c>
      <c r="L39" s="147">
        <v>0</v>
      </c>
      <c r="M39" s="147">
        <v>0</v>
      </c>
      <c r="N39" s="147">
        <v>2007</v>
      </c>
      <c r="O39" s="147">
        <v>90078.044801739728</v>
      </c>
      <c r="P39" s="147">
        <v>10273.95519826027</v>
      </c>
      <c r="Q39" s="147">
        <v>100352</v>
      </c>
      <c r="R39" s="150"/>
      <c r="T39" s="152"/>
    </row>
    <row r="40" spans="1:20" s="141" customFormat="1" ht="10.5" x14ac:dyDescent="0.15">
      <c r="A40" s="138">
        <v>2008</v>
      </c>
      <c r="B40" s="147">
        <v>74234.873121869779</v>
      </c>
      <c r="C40" s="147">
        <v>3310.1268781302174</v>
      </c>
      <c r="D40" s="147">
        <v>77545</v>
      </c>
      <c r="E40" s="147">
        <v>14765.827308225218</v>
      </c>
      <c r="F40" s="147">
        <v>8233.1726917747837</v>
      </c>
      <c r="G40" s="147">
        <v>22999</v>
      </c>
      <c r="H40" s="147">
        <v>396.27156919513607</v>
      </c>
      <c r="I40" s="147">
        <v>1.7284308048639261</v>
      </c>
      <c r="J40" s="147">
        <v>398</v>
      </c>
      <c r="K40" s="147">
        <v>0</v>
      </c>
      <c r="L40" s="147">
        <v>0</v>
      </c>
      <c r="M40" s="147">
        <v>0</v>
      </c>
      <c r="N40" s="147">
        <v>2007</v>
      </c>
      <c r="O40" s="147">
        <v>91403.971999290123</v>
      </c>
      <c r="P40" s="147">
        <v>11545.028000709865</v>
      </c>
      <c r="Q40" s="147">
        <v>102948.99999999999</v>
      </c>
      <c r="R40" s="150"/>
      <c r="T40" s="152"/>
    </row>
    <row r="41" spans="1:20" s="141" customFormat="1" ht="10.5" x14ac:dyDescent="0.15">
      <c r="A41" s="138">
        <v>2009</v>
      </c>
      <c r="B41" s="147">
        <v>74852.609131920224</v>
      </c>
      <c r="C41" s="147">
        <v>3757.3908680797717</v>
      </c>
      <c r="D41" s="147">
        <v>78610</v>
      </c>
      <c r="E41" s="147">
        <v>16276.61877606421</v>
      </c>
      <c r="F41" s="147">
        <v>9074.4972239358412</v>
      </c>
      <c r="G41" s="147">
        <v>25351.116000000053</v>
      </c>
      <c r="H41" s="147">
        <v>600.20084876901922</v>
      </c>
      <c r="I41" s="147">
        <v>1.7991512309807332</v>
      </c>
      <c r="J41" s="147">
        <v>602</v>
      </c>
      <c r="K41" s="147">
        <v>0</v>
      </c>
      <c r="L41" s="147">
        <v>0</v>
      </c>
      <c r="M41" s="147">
        <v>0</v>
      </c>
      <c r="N41" s="147">
        <v>2007</v>
      </c>
      <c r="O41" s="147">
        <v>93736.428756753448</v>
      </c>
      <c r="P41" s="147">
        <v>12833.687243246593</v>
      </c>
      <c r="Q41" s="147">
        <v>106570.11600000004</v>
      </c>
      <c r="R41" s="150"/>
      <c r="T41" s="152"/>
    </row>
    <row r="42" spans="1:20" s="141" customFormat="1" ht="10.5" x14ac:dyDescent="0.15">
      <c r="A42" s="138">
        <v>2010</v>
      </c>
      <c r="B42" s="147">
        <v>76630.787620801304</v>
      </c>
      <c r="C42" s="147">
        <v>4072.2123791987092</v>
      </c>
      <c r="D42" s="147">
        <v>80703.000000000015</v>
      </c>
      <c r="E42" s="147">
        <v>17659.232344353342</v>
      </c>
      <c r="F42" s="147">
        <v>12029.767655646656</v>
      </c>
      <c r="G42" s="147">
        <v>29689</v>
      </c>
      <c r="H42" s="147">
        <v>925.0043080224433</v>
      </c>
      <c r="I42" s="147">
        <v>1.9956919775564803</v>
      </c>
      <c r="J42" s="147">
        <v>926.99999999999977</v>
      </c>
      <c r="K42" s="147">
        <v>0.8</v>
      </c>
      <c r="L42" s="147">
        <v>0</v>
      </c>
      <c r="M42" s="147">
        <v>0.8</v>
      </c>
      <c r="N42" s="147">
        <v>2007</v>
      </c>
      <c r="O42" s="147">
        <v>97222.824273177088</v>
      </c>
      <c r="P42" s="147">
        <v>16103.97572682292</v>
      </c>
      <c r="Q42" s="147">
        <v>113326.8</v>
      </c>
      <c r="R42" s="150"/>
      <c r="T42" s="152"/>
    </row>
    <row r="43" spans="1:20" s="141" customFormat="1" ht="10.5" x14ac:dyDescent="0.15">
      <c r="A43" s="138">
        <v>2011</v>
      </c>
      <c r="B43" s="147">
        <v>78022.738771836288</v>
      </c>
      <c r="C43" s="147">
        <v>4436.1612281637063</v>
      </c>
      <c r="D43" s="147">
        <v>82458.899999999994</v>
      </c>
      <c r="E43" s="147">
        <v>17905.63752631531</v>
      </c>
      <c r="F43" s="147">
        <v>13337.189588954003</v>
      </c>
      <c r="G43" s="147">
        <v>31242.827115269312</v>
      </c>
      <c r="H43" s="147">
        <v>1422.9922000000001</v>
      </c>
      <c r="I43" s="147">
        <v>2</v>
      </c>
      <c r="J43" s="147">
        <v>1424.9922000000001</v>
      </c>
      <c r="K43" s="147">
        <v>0.8</v>
      </c>
      <c r="L43" s="147">
        <v>0</v>
      </c>
      <c r="M43" s="147">
        <v>0.8</v>
      </c>
      <c r="N43" s="147">
        <v>2007</v>
      </c>
      <c r="O43" s="147">
        <v>99359.168498151586</v>
      </c>
      <c r="P43" s="147">
        <v>17775.350817117709</v>
      </c>
      <c r="Q43" s="147">
        <v>117134.5193152693</v>
      </c>
      <c r="R43" s="150"/>
      <c r="T43" s="152"/>
    </row>
    <row r="44" spans="1:20" s="141" customFormat="1" ht="10.5" x14ac:dyDescent="0.15">
      <c r="A44" s="138">
        <v>2012</v>
      </c>
      <c r="B44" s="147">
        <v>79673.181443395704</v>
      </c>
      <c r="C44" s="147">
        <v>4620.8185566043085</v>
      </c>
      <c r="D44" s="147">
        <v>84294.000000000015</v>
      </c>
      <c r="E44" s="147">
        <v>18558.295970522908</v>
      </c>
      <c r="F44" s="147">
        <v>14219.74776947709</v>
      </c>
      <c r="G44" s="147">
        <v>32778.043739999994</v>
      </c>
      <c r="H44" s="147">
        <v>1890.0742599999999</v>
      </c>
      <c r="I44" s="147">
        <v>1.8</v>
      </c>
      <c r="J44" s="147">
        <v>1891.8742599999998</v>
      </c>
      <c r="K44" s="147">
        <v>2.0819999999999999</v>
      </c>
      <c r="L44" s="147">
        <v>0</v>
      </c>
      <c r="M44" s="147">
        <v>2.0819999999999999</v>
      </c>
      <c r="N44" s="147">
        <v>2007</v>
      </c>
      <c r="O44" s="147">
        <v>102130.63367391861</v>
      </c>
      <c r="P44" s="147">
        <v>18842.366326081396</v>
      </c>
      <c r="Q44" s="147">
        <v>120973</v>
      </c>
      <c r="R44" s="150"/>
      <c r="T44" s="152"/>
    </row>
    <row r="45" spans="1:20" s="141" customFormat="1" ht="10.5" x14ac:dyDescent="0.15">
      <c r="A45" s="138">
        <v>2013</v>
      </c>
      <c r="B45" s="147">
        <v>81212.714664955056</v>
      </c>
      <c r="C45" s="147">
        <v>4805.4758850449107</v>
      </c>
      <c r="D45" s="147">
        <v>86018.19054999997</v>
      </c>
      <c r="E45" s="147">
        <v>21426.17022</v>
      </c>
      <c r="F45" s="147">
        <v>15102.305950000138</v>
      </c>
      <c r="G45" s="147">
        <v>36528.47617000014</v>
      </c>
      <c r="H45" s="147">
        <v>2199.7660000000001</v>
      </c>
      <c r="I45" s="147">
        <v>1.9780000000000002</v>
      </c>
      <c r="J45" s="147">
        <v>2201.7440000000001</v>
      </c>
      <c r="K45" s="147">
        <v>2.0819999999999999</v>
      </c>
      <c r="L45" s="147">
        <v>2.8103400000000005</v>
      </c>
      <c r="M45" s="147">
        <v>4.8923400000000008</v>
      </c>
      <c r="N45" s="147">
        <v>1990</v>
      </c>
      <c r="O45" s="147">
        <v>106830.73288495505</v>
      </c>
      <c r="P45" s="147">
        <v>19912.570175045046</v>
      </c>
      <c r="Q45" s="147">
        <v>126743.30306000009</v>
      </c>
      <c r="R45" s="150"/>
      <c r="T45" s="152"/>
    </row>
    <row r="46" spans="1:20" s="141" customFormat="1" ht="10.5" x14ac:dyDescent="0.15">
      <c r="A46" s="138">
        <v>2014</v>
      </c>
      <c r="B46" s="147">
        <v>84330</v>
      </c>
      <c r="C46" s="147">
        <v>4862.96219504491</v>
      </c>
      <c r="D46" s="147">
        <v>89192.962195044907</v>
      </c>
      <c r="E46" s="147">
        <v>21799.667579999998</v>
      </c>
      <c r="F46" s="147">
        <v>16027.102420000001</v>
      </c>
      <c r="G46" s="147">
        <v>37826.769999999997</v>
      </c>
      <c r="H46" s="147">
        <v>4885.6710000000003</v>
      </c>
      <c r="I46" s="147">
        <v>2.01803</v>
      </c>
      <c r="J46" s="147">
        <v>4887.6890300000005</v>
      </c>
      <c r="K46" s="147">
        <v>6.0802300000000002</v>
      </c>
      <c r="L46" s="147">
        <v>9.0002499999999994</v>
      </c>
      <c r="M46" s="147">
        <v>15.08048</v>
      </c>
      <c r="N46" s="147">
        <v>1990</v>
      </c>
      <c r="O46" s="147">
        <v>113011.41881</v>
      </c>
      <c r="P46" s="147">
        <v>20901.08289504491</v>
      </c>
      <c r="Q46" s="147">
        <v>133912.50170504491</v>
      </c>
      <c r="R46" s="150"/>
      <c r="T46" s="152"/>
    </row>
    <row r="47" spans="1:20" s="141" customFormat="1" ht="10.5" x14ac:dyDescent="0.15">
      <c r="A47" s="138">
        <v>2015</v>
      </c>
      <c r="B47" s="147">
        <v>86766.089254955106</v>
      </c>
      <c r="C47" s="147">
        <v>4884.1084450448925</v>
      </c>
      <c r="D47" s="147">
        <v>91650.197700000004</v>
      </c>
      <c r="E47" s="147">
        <v>21607.084920000001</v>
      </c>
      <c r="F47" s="147">
        <v>17956.386839999999</v>
      </c>
      <c r="G47" s="147">
        <v>39563.47176</v>
      </c>
      <c r="H47" s="147">
        <v>7630.7660000000014</v>
      </c>
      <c r="I47" s="147">
        <v>1.9659999999982818</v>
      </c>
      <c r="J47" s="147">
        <v>7632.732</v>
      </c>
      <c r="K47" s="147">
        <v>6.0916484000000004</v>
      </c>
      <c r="L47" s="147">
        <v>15.255269999999999</v>
      </c>
      <c r="M47" s="147">
        <v>21.3469184</v>
      </c>
      <c r="N47" s="147">
        <v>1990</v>
      </c>
      <c r="O47" s="147">
        <v>118000.03182335512</v>
      </c>
      <c r="P47" s="147">
        <v>22857.716555044888</v>
      </c>
      <c r="Q47" s="147">
        <v>140857.74837840002</v>
      </c>
      <c r="R47" s="150"/>
      <c r="T47" s="152"/>
    </row>
    <row r="48" spans="1:20" s="141" customFormat="1" ht="10.5" x14ac:dyDescent="0.15">
      <c r="A48" s="138">
        <v>2016</v>
      </c>
      <c r="B48" s="147">
        <v>91981.790686955079</v>
      </c>
      <c r="C48" s="147">
        <v>4943.2076230449102</v>
      </c>
      <c r="D48" s="147">
        <v>96924.998309999995</v>
      </c>
      <c r="E48" s="147">
        <v>22101.1685</v>
      </c>
      <c r="F48" s="147">
        <v>19173.70670999998</v>
      </c>
      <c r="G48" s="147">
        <v>41274.875209999984</v>
      </c>
      <c r="H48" s="147">
        <v>10121.976000000001</v>
      </c>
      <c r="I48" s="147">
        <v>1.9662200000000001</v>
      </c>
      <c r="J48" s="147">
        <v>10123.942220000001</v>
      </c>
      <c r="K48" s="147">
        <v>19.92155</v>
      </c>
      <c r="L48" s="147">
        <v>3.8398699999999999</v>
      </c>
      <c r="M48" s="147">
        <v>23.761420000000001</v>
      </c>
      <c r="N48" s="147">
        <v>1990</v>
      </c>
      <c r="O48" s="147">
        <v>126214.85673695507</v>
      </c>
      <c r="P48" s="147">
        <v>24122.720423044888</v>
      </c>
      <c r="Q48" s="147">
        <v>150337.57715999996</v>
      </c>
      <c r="R48" s="150"/>
      <c r="T48" s="152"/>
    </row>
    <row r="49" spans="1:20" s="141" customFormat="1" ht="10.5" x14ac:dyDescent="0.15">
      <c r="A49" s="138">
        <v>2017</v>
      </c>
      <c r="B49" s="147">
        <v>95272.811346955074</v>
      </c>
      <c r="C49" s="147">
        <v>5002.5887830449101</v>
      </c>
      <c r="D49" s="147">
        <v>100275.40012999998</v>
      </c>
      <c r="E49" s="147">
        <v>21900.188591931626</v>
      </c>
      <c r="F49" s="147">
        <v>19728.01964806837</v>
      </c>
      <c r="G49" s="147">
        <v>41628.208239999993</v>
      </c>
      <c r="H49" s="147">
        <v>12281.276640000002</v>
      </c>
      <c r="I49" s="147">
        <v>1.9662200000000001</v>
      </c>
      <c r="J49" s="147">
        <v>12283.242860000002</v>
      </c>
      <c r="K49" s="147">
        <v>932.09076000000005</v>
      </c>
      <c r="L49" s="147">
        <v>3.2338700000000005</v>
      </c>
      <c r="M49" s="147">
        <v>935.32463000000007</v>
      </c>
      <c r="N49" s="147">
        <v>1990</v>
      </c>
      <c r="O49" s="147">
        <v>132376.36733888672</v>
      </c>
      <c r="P49" s="147">
        <v>24735.808521113278</v>
      </c>
      <c r="Q49" s="147">
        <v>157112.17585999999</v>
      </c>
      <c r="R49" s="150"/>
      <c r="T49" s="152"/>
    </row>
    <row r="50" spans="1:20" s="141" customFormat="1" ht="10.5" x14ac:dyDescent="0.15">
      <c r="A50" s="138">
        <v>2018</v>
      </c>
      <c r="B50" s="147">
        <v>99108.038976955082</v>
      </c>
      <c r="C50" s="147">
        <v>5031.3402530449102</v>
      </c>
      <c r="D50" s="147">
        <v>104139.37922999999</v>
      </c>
      <c r="E50" s="147">
        <v>20725.197129999997</v>
      </c>
      <c r="F50" s="147">
        <v>19797.630359999999</v>
      </c>
      <c r="G50" s="147">
        <v>40522.827489999996</v>
      </c>
      <c r="H50" s="147">
        <v>14388.326639999999</v>
      </c>
      <c r="I50" s="147">
        <v>1.9662200000000001</v>
      </c>
      <c r="J50" s="147">
        <v>14390.29286</v>
      </c>
      <c r="K50" s="147">
        <v>1792.8884900000003</v>
      </c>
      <c r="L50" s="147">
        <v>4.69177</v>
      </c>
      <c r="M50" s="147">
        <v>1797.5802600000002</v>
      </c>
      <c r="N50" s="147">
        <v>1990</v>
      </c>
      <c r="O50" s="147">
        <v>138004.45123695509</v>
      </c>
      <c r="P50" s="147">
        <v>24835.628603044908</v>
      </c>
      <c r="Q50" s="147">
        <v>162840.07983999999</v>
      </c>
      <c r="R50" s="150"/>
      <c r="T50" s="152"/>
    </row>
    <row r="51" spans="1:20" s="141" customFormat="1" ht="10.5" x14ac:dyDescent="0.15">
      <c r="A51" s="138">
        <v>2019</v>
      </c>
      <c r="B51" s="147">
        <v>104000.6050669551</v>
      </c>
      <c r="C51" s="147">
        <v>5057.5707330449295</v>
      </c>
      <c r="D51" s="147">
        <v>109058.17580000003</v>
      </c>
      <c r="E51" s="147">
        <v>21236.861629999996</v>
      </c>
      <c r="F51" s="147">
        <v>19981.699960000002</v>
      </c>
      <c r="G51" s="147">
        <v>41218.561589999998</v>
      </c>
      <c r="H51" s="147">
        <v>15375.886640000001</v>
      </c>
      <c r="I51" s="147">
        <v>1.9662200000000001</v>
      </c>
      <c r="J51" s="147">
        <v>15377.852860000001</v>
      </c>
      <c r="K51" s="147">
        <v>2463.5447999999997</v>
      </c>
      <c r="L51" s="147">
        <v>9.887099999999716</v>
      </c>
      <c r="M51" s="147">
        <v>2473.4318999999996</v>
      </c>
      <c r="N51" s="147">
        <v>1990</v>
      </c>
      <c r="O51" s="147">
        <v>145066.8981369551</v>
      </c>
      <c r="P51" s="147">
        <v>25051.12401304493</v>
      </c>
      <c r="Q51" s="147">
        <v>170118.02215000003</v>
      </c>
      <c r="R51" s="150"/>
      <c r="T51" s="152"/>
    </row>
    <row r="52" spans="1:20" s="141" customFormat="1" ht="10.5" x14ac:dyDescent="0.15">
      <c r="A52" s="138">
        <v>2020</v>
      </c>
      <c r="B52" s="147">
        <v>104205.34167695508</v>
      </c>
      <c r="C52" s="147">
        <v>5065.7947330449297</v>
      </c>
      <c r="D52" s="147">
        <v>109271.13641000001</v>
      </c>
      <c r="E52" s="147">
        <v>22827.404629999997</v>
      </c>
      <c r="F52" s="147">
        <v>20229.694759999977</v>
      </c>
      <c r="G52" s="147">
        <v>43057.099389999974</v>
      </c>
      <c r="H52" s="147">
        <v>17129.19664000002</v>
      </c>
      <c r="I52" s="147">
        <v>1.9662200000000001</v>
      </c>
      <c r="J52" s="147">
        <v>17131.162860000019</v>
      </c>
      <c r="K52" s="147">
        <v>3270.8286499999995</v>
      </c>
      <c r="L52" s="147">
        <v>16.2855999999997</v>
      </c>
      <c r="M52" s="147">
        <v>3287.1142499999992</v>
      </c>
      <c r="N52" s="147">
        <v>1990</v>
      </c>
      <c r="O52" s="147">
        <v>149422.77159695511</v>
      </c>
      <c r="P52" s="147">
        <v>25313.741313044906</v>
      </c>
      <c r="Q52" s="147">
        <v>174736.51291000002</v>
      </c>
      <c r="R52" s="150"/>
      <c r="T52" s="152"/>
    </row>
    <row r="53" spans="1:20" s="141" customFormat="1" ht="10.5" x14ac:dyDescent="0.15">
      <c r="A53" s="138">
        <v>2021</v>
      </c>
      <c r="B53" s="147">
        <v>104317.35238195512</v>
      </c>
      <c r="C53" s="147">
        <v>5032.7258580449106</v>
      </c>
      <c r="D53" s="147">
        <v>109350.07824000003</v>
      </c>
      <c r="E53" s="147">
        <v>24109.171529999996</v>
      </c>
      <c r="F53" s="147">
        <v>20757.153760000001</v>
      </c>
      <c r="G53" s="147">
        <v>44866.325289999993</v>
      </c>
      <c r="H53" s="147">
        <v>20769.112639999999</v>
      </c>
      <c r="I53" s="147">
        <v>1.9662200000000001</v>
      </c>
      <c r="J53" s="147">
        <v>20771.078859999998</v>
      </c>
      <c r="K53" s="147">
        <v>4570.1843600000002</v>
      </c>
      <c r="L53" s="147">
        <v>62.061199999999999</v>
      </c>
      <c r="M53" s="147">
        <v>4632.2455600000003</v>
      </c>
      <c r="N53" s="147">
        <v>1990</v>
      </c>
      <c r="O53" s="147">
        <v>155755.82091195512</v>
      </c>
      <c r="P53" s="147">
        <v>25853.907038044912</v>
      </c>
      <c r="Q53" s="147">
        <v>181609.72795000003</v>
      </c>
      <c r="R53" s="150"/>
      <c r="T53" s="152"/>
    </row>
    <row r="54" spans="1:20" s="141" customFormat="1" ht="10.5" x14ac:dyDescent="0.15">
      <c r="A54" s="138">
        <v>2022</v>
      </c>
      <c r="B54" s="147">
        <v>104717.0975619551</v>
      </c>
      <c r="C54" s="147">
        <v>5003.7684280449103</v>
      </c>
      <c r="D54" s="147">
        <v>109720.86599000002</v>
      </c>
      <c r="E54" s="147">
        <v>24897.662850000001</v>
      </c>
      <c r="F54" s="147">
        <v>21386.829959999999</v>
      </c>
      <c r="G54" s="147">
        <v>46284.492809999996</v>
      </c>
      <c r="H54" s="147">
        <v>23742.157640000001</v>
      </c>
      <c r="I54" s="147">
        <v>1.9662200000000001</v>
      </c>
      <c r="J54" s="147">
        <v>23744.12386</v>
      </c>
      <c r="K54" s="147">
        <v>7191.9684900000002</v>
      </c>
      <c r="L54" s="147">
        <v>195.14237999999847</v>
      </c>
      <c r="M54" s="147">
        <v>7387.1108699999986</v>
      </c>
      <c r="N54" s="147">
        <v>1990</v>
      </c>
      <c r="O54" s="147">
        <v>162538.88654195509</v>
      </c>
      <c r="P54" s="147">
        <v>26587.706988044905</v>
      </c>
      <c r="Q54" s="147">
        <v>189126.59352999998</v>
      </c>
      <c r="R54" s="150"/>
      <c r="T54" s="152"/>
    </row>
    <row r="55" spans="1:20" s="141" customFormat="1" ht="10.5" x14ac:dyDescent="0.15">
      <c r="A55" s="138">
        <v>2023</v>
      </c>
      <c r="B55" s="147">
        <v>104869.19092195509</v>
      </c>
      <c r="C55" s="147">
        <v>4988.1649080449106</v>
      </c>
      <c r="D55" s="147">
        <v>109857.35583</v>
      </c>
      <c r="E55" s="147">
        <v>25245.682849999997</v>
      </c>
      <c r="F55" s="147">
        <v>22090.135159999998</v>
      </c>
      <c r="G55" s="147">
        <v>47335.818009999995</v>
      </c>
      <c r="H55" s="147">
        <v>28662.457640000001</v>
      </c>
      <c r="I55" s="147">
        <v>1.9662200000000001</v>
      </c>
      <c r="J55" s="147">
        <v>28664.423859999999</v>
      </c>
      <c r="K55" s="147">
        <v>10516.831889999998</v>
      </c>
      <c r="L55" s="147">
        <v>960.1429800027048</v>
      </c>
      <c r="M55" s="147">
        <v>11476.974870002703</v>
      </c>
      <c r="N55" s="147">
        <v>1990</v>
      </c>
      <c r="O55" s="147">
        <v>171284.16330195509</v>
      </c>
      <c r="P55" s="147">
        <v>28040.40926804761</v>
      </c>
      <c r="Q55" s="147">
        <v>199324.5725700027</v>
      </c>
      <c r="R55" s="150"/>
      <c r="T55" s="152"/>
    </row>
    <row r="56" spans="1:20" s="141" customFormat="1" ht="10.5" x14ac:dyDescent="0.15">
      <c r="A56" s="138">
        <v>2024</v>
      </c>
      <c r="B56" s="147">
        <v>104883.04642195509</v>
      </c>
      <c r="C56" s="147">
        <v>4981.3894080449099</v>
      </c>
      <c r="D56" s="147">
        <v>109864.43583000002</v>
      </c>
      <c r="E56" s="147">
        <v>24773.868149999984</v>
      </c>
      <c r="F56" s="147">
        <v>21465.179160000003</v>
      </c>
      <c r="G56" s="147">
        <v>46239.047309999987</v>
      </c>
      <c r="H56" s="147">
        <v>29530.657640000001</v>
      </c>
      <c r="I56" s="147">
        <v>1.9662200000000001</v>
      </c>
      <c r="J56" s="147">
        <v>29532.62386</v>
      </c>
      <c r="K56" s="147">
        <v>11646.137589999998</v>
      </c>
      <c r="L56" s="147">
        <v>930.12761000271064</v>
      </c>
      <c r="M56" s="147">
        <v>12576.265200002708</v>
      </c>
      <c r="N56" s="147">
        <v>1990</v>
      </c>
      <c r="O56" s="147">
        <v>172823.70980195506</v>
      </c>
      <c r="P56" s="147">
        <v>27378.662398047622</v>
      </c>
      <c r="Q56" s="147">
        <v>200202.37220000269</v>
      </c>
      <c r="R56" s="150"/>
      <c r="T56" s="152"/>
    </row>
    <row r="57" spans="1:20" s="141" customFormat="1" ht="11.25" thickBot="1" x14ac:dyDescent="0.2">
      <c r="A57" s="153">
        <v>2025</v>
      </c>
      <c r="B57" s="154">
        <v>105246.8548959551</v>
      </c>
      <c r="C57" s="154">
        <v>4916.1257140448906</v>
      </c>
      <c r="D57" s="154">
        <v>110162.98060999997</v>
      </c>
      <c r="E57" s="154">
        <v>26152.120599999984</v>
      </c>
      <c r="F57" s="154">
        <v>22892.801760000002</v>
      </c>
      <c r="G57" s="154">
        <v>49044.92235999999</v>
      </c>
      <c r="H57" s="154">
        <v>34687.187639999996</v>
      </c>
      <c r="I57" s="154">
        <v>1.9662200000000001</v>
      </c>
      <c r="J57" s="154">
        <v>34689.153859999991</v>
      </c>
      <c r="K57" s="154">
        <v>18810.434030000008</v>
      </c>
      <c r="L57" s="154">
        <v>1241.2625399999984</v>
      </c>
      <c r="M57" s="154">
        <v>20051.696570000007</v>
      </c>
      <c r="N57" s="154">
        <v>1990</v>
      </c>
      <c r="O57" s="154">
        <v>186886.59716595509</v>
      </c>
      <c r="P57" s="154">
        <v>29052.156234044887</v>
      </c>
      <c r="Q57" s="154">
        <v>215938.75339999993</v>
      </c>
      <c r="R57" s="150"/>
      <c r="T57" s="149"/>
    </row>
    <row r="58" spans="1:20" s="141" customFormat="1" ht="10.5" x14ac:dyDescent="0.15">
      <c r="A58" s="146" t="s">
        <v>32</v>
      </c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</row>
    <row r="59" spans="1:20" s="141" customFormat="1" ht="10.5" x14ac:dyDescent="0.15">
      <c r="A59" s="155" t="s">
        <v>33</v>
      </c>
      <c r="B59" s="156"/>
      <c r="C59" s="156"/>
      <c r="D59" s="156"/>
      <c r="E59" s="156"/>
      <c r="F59" s="156"/>
      <c r="G59" s="156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</row>
    <row r="60" spans="1:20" s="141" customFormat="1" ht="11.25" x14ac:dyDescent="0.15">
      <c r="A60" s="157" t="s">
        <v>116</v>
      </c>
      <c r="B60" s="156"/>
      <c r="C60" s="156"/>
      <c r="D60" s="156"/>
      <c r="E60" s="156"/>
      <c r="F60" s="156"/>
      <c r="G60" s="156"/>
      <c r="O60" s="158"/>
      <c r="P60" s="158"/>
      <c r="Q60" s="158"/>
      <c r="R60" s="158"/>
    </row>
    <row r="61" spans="1:20" s="141" customFormat="1" ht="11.25" x14ac:dyDescent="0.15">
      <c r="A61" s="159" t="s">
        <v>117</v>
      </c>
      <c r="B61" s="156"/>
      <c r="C61" s="156"/>
      <c r="D61" s="156"/>
      <c r="E61" s="156"/>
      <c r="F61" s="156"/>
      <c r="G61" s="160"/>
      <c r="H61" s="160"/>
      <c r="I61" s="160"/>
      <c r="J61" s="161"/>
      <c r="O61" s="158"/>
      <c r="P61" s="158"/>
      <c r="Q61" s="162"/>
    </row>
    <row r="62" spans="1:20" s="141" customFormat="1" ht="11.25" x14ac:dyDescent="0.15">
      <c r="A62" s="157" t="s">
        <v>118</v>
      </c>
      <c r="B62" s="156"/>
      <c r="C62" s="156"/>
      <c r="D62" s="156"/>
      <c r="E62" s="156"/>
      <c r="F62" s="156"/>
      <c r="G62" s="156"/>
      <c r="H62" s="156"/>
      <c r="I62" s="156"/>
      <c r="Q62" s="161"/>
    </row>
    <row r="63" spans="1:20" s="141" customFormat="1" ht="11.25" x14ac:dyDescent="0.15">
      <c r="A63" s="159" t="s">
        <v>119</v>
      </c>
      <c r="B63" s="156"/>
      <c r="C63" s="156"/>
      <c r="D63" s="156"/>
      <c r="E63" s="156"/>
      <c r="F63" s="156"/>
    </row>
    <row r="64" spans="1:20" s="141" customFormat="1" ht="11.25" x14ac:dyDescent="0.15">
      <c r="A64" s="163" t="s">
        <v>120</v>
      </c>
      <c r="B64" s="156"/>
      <c r="C64" s="156"/>
      <c r="D64" s="156"/>
      <c r="E64" s="156"/>
      <c r="F64" s="156"/>
    </row>
    <row r="65" spans="1:11" s="141" customFormat="1" ht="11.25" x14ac:dyDescent="0.15">
      <c r="A65" s="159" t="s">
        <v>121</v>
      </c>
      <c r="B65" s="156"/>
      <c r="C65" s="156"/>
      <c r="D65" s="156"/>
      <c r="E65" s="156"/>
      <c r="F65" s="156"/>
      <c r="K65" s="150"/>
    </row>
    <row r="66" spans="1:11" s="141" customFormat="1" ht="11.25" x14ac:dyDescent="0.15">
      <c r="A66" s="163" t="s">
        <v>122</v>
      </c>
    </row>
    <row r="67" spans="1:11" s="141" customFormat="1" ht="11.25" x14ac:dyDescent="0.15">
      <c r="A67" s="164" t="s">
        <v>123</v>
      </c>
    </row>
    <row r="68" spans="1:11" x14ac:dyDescent="0.2">
      <c r="B68" s="92"/>
      <c r="C68" s="92"/>
    </row>
    <row r="70" spans="1:11" x14ac:dyDescent="0.2">
      <c r="A70" s="94"/>
      <c r="B70" s="94"/>
      <c r="C70" s="94"/>
    </row>
    <row r="92" spans="7:9" x14ac:dyDescent="0.2">
      <c r="G92" s="27"/>
      <c r="H92" s="27"/>
      <c r="I92" s="27"/>
    </row>
    <row r="93" spans="7:9" x14ac:dyDescent="0.2">
      <c r="G93" s="27"/>
      <c r="H93" s="27"/>
      <c r="I93" s="27"/>
    </row>
    <row r="94" spans="7:9" x14ac:dyDescent="0.2">
      <c r="G94" s="27"/>
      <c r="H94" s="27"/>
      <c r="I94" s="27"/>
    </row>
    <row r="95" spans="7:9" x14ac:dyDescent="0.2">
      <c r="G95" s="27"/>
      <c r="H95" s="27"/>
      <c r="I95" s="27"/>
    </row>
    <row r="96" spans="7:9" x14ac:dyDescent="0.2">
      <c r="G96" s="27"/>
      <c r="H96" s="27"/>
      <c r="I96" s="27"/>
    </row>
    <row r="97" spans="7:9" x14ac:dyDescent="0.2">
      <c r="G97" s="27"/>
      <c r="H97" s="27"/>
      <c r="I97" s="27"/>
    </row>
    <row r="98" spans="7:9" x14ac:dyDescent="0.2">
      <c r="G98" s="27"/>
      <c r="H98" s="27"/>
      <c r="I98" s="27"/>
    </row>
    <row r="99" spans="7:9" x14ac:dyDescent="0.2">
      <c r="G99" s="27"/>
      <c r="H99" s="27"/>
      <c r="I99" s="27"/>
    </row>
    <row r="100" spans="7:9" x14ac:dyDescent="0.2">
      <c r="G100" s="27"/>
      <c r="H100" s="27"/>
      <c r="I100" s="27"/>
    </row>
    <row r="101" spans="7:9" x14ac:dyDescent="0.2">
      <c r="G101" s="27"/>
      <c r="H101" s="27"/>
      <c r="I101" s="27"/>
    </row>
    <row r="102" spans="7:9" x14ac:dyDescent="0.2">
      <c r="G102" s="27"/>
      <c r="H102" s="27"/>
      <c r="I102" s="27"/>
    </row>
    <row r="103" spans="7:9" x14ac:dyDescent="0.2">
      <c r="G103" s="27"/>
      <c r="H103" s="27"/>
      <c r="I103" s="27"/>
    </row>
    <row r="104" spans="7:9" x14ac:dyDescent="0.2">
      <c r="G104" s="27"/>
      <c r="H104" s="27"/>
      <c r="I104" s="27"/>
    </row>
    <row r="105" spans="7:9" x14ac:dyDescent="0.2">
      <c r="G105" s="27"/>
      <c r="H105" s="27"/>
      <c r="I105" s="27"/>
    </row>
    <row r="106" spans="7:9" x14ac:dyDescent="0.2">
      <c r="G106" s="27"/>
      <c r="H106" s="27"/>
      <c r="I106" s="27"/>
    </row>
    <row r="107" spans="7:9" x14ac:dyDescent="0.2">
      <c r="G107" s="27"/>
      <c r="H107" s="27"/>
      <c r="I107" s="27"/>
    </row>
    <row r="108" spans="7:9" x14ac:dyDescent="0.2">
      <c r="G108" s="27"/>
      <c r="H108" s="27"/>
      <c r="I108" s="27"/>
    </row>
    <row r="109" spans="7:9" x14ac:dyDescent="0.2">
      <c r="G109" s="27"/>
      <c r="H109" s="27"/>
      <c r="I109" s="27"/>
    </row>
    <row r="110" spans="7:9" x14ac:dyDescent="0.2">
      <c r="G110" s="27"/>
      <c r="H110" s="27"/>
      <c r="I110" s="27"/>
    </row>
    <row r="111" spans="7:9" x14ac:dyDescent="0.2">
      <c r="G111" s="27"/>
      <c r="H111" s="27"/>
      <c r="I111" s="27"/>
    </row>
    <row r="112" spans="7:9" x14ac:dyDescent="0.2">
      <c r="G112" s="27"/>
      <c r="H112" s="27"/>
      <c r="I112" s="27"/>
    </row>
    <row r="113" spans="7:9" x14ac:dyDescent="0.2">
      <c r="G113" s="27"/>
      <c r="H113" s="27"/>
      <c r="I113" s="27"/>
    </row>
    <row r="114" spans="7:9" x14ac:dyDescent="0.2">
      <c r="G114" s="27"/>
      <c r="H114" s="27"/>
      <c r="I114" s="27"/>
    </row>
    <row r="115" spans="7:9" x14ac:dyDescent="0.2">
      <c r="G115" s="27"/>
      <c r="H115" s="27"/>
      <c r="I115" s="27"/>
    </row>
    <row r="116" spans="7:9" x14ac:dyDescent="0.2">
      <c r="G116" s="27"/>
      <c r="H116" s="27"/>
      <c r="I116" s="27"/>
    </row>
  </sheetData>
  <mergeCells count="10">
    <mergeCell ref="B3:D3"/>
    <mergeCell ref="O3:Q3"/>
    <mergeCell ref="O4:Q4"/>
    <mergeCell ref="E3:G3"/>
    <mergeCell ref="E4:G4"/>
    <mergeCell ref="H3:J3"/>
    <mergeCell ref="H4:J4"/>
    <mergeCell ref="B4:D4"/>
    <mergeCell ref="K3:M3"/>
    <mergeCell ref="K4:M4"/>
  </mergeCells>
  <phoneticPr fontId="12" type="noConversion"/>
  <conditionalFormatting sqref="A67">
    <cfRule type="cellIs" dxfId="0" priority="1" stopIfTrue="1" operator="equal">
      <formula>0</formula>
    </cfRule>
  </conditionalFormatting>
  <pageMargins left="0.78740157499999996" right="0.78740157499999996" top="0.984251969" bottom="0.984251969" header="0.49212598499999999" footer="0.49212598499999999"/>
  <pageSetup paperSize="9" scale="71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E4AC-D45E-416F-B8B9-5D0B182F20F6}">
  <dimension ref="A1:R12"/>
  <sheetViews>
    <sheetView showGridLines="0" workbookViewId="0">
      <selection activeCell="A4" sqref="A4:B12"/>
    </sheetView>
  </sheetViews>
  <sheetFormatPr defaultRowHeight="12.75" x14ac:dyDescent="0.2"/>
  <cols>
    <col min="1" max="2" width="19.85546875" style="88" customWidth="1"/>
    <col min="3" max="16384" width="9.140625" style="88"/>
  </cols>
  <sheetData>
    <row r="1" spans="1:18" ht="15" x14ac:dyDescent="0.2">
      <c r="A1" s="95" t="s">
        <v>102</v>
      </c>
    </row>
    <row r="2" spans="1:18" ht="15.75" thickBot="1" x14ac:dyDescent="0.25">
      <c r="A2" s="89" t="s">
        <v>103</v>
      </c>
      <c r="B2" s="9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96"/>
      <c r="R2" s="91"/>
    </row>
    <row r="3" spans="1:18" ht="13.5" thickBot="1" x14ac:dyDescent="0.25">
      <c r="A3" s="74" t="s">
        <v>34</v>
      </c>
      <c r="B3" s="75" t="s">
        <v>0</v>
      </c>
    </row>
    <row r="4" spans="1:18" x14ac:dyDescent="0.2">
      <c r="A4" s="36">
        <v>1984</v>
      </c>
      <c r="B4" s="37">
        <v>1400</v>
      </c>
    </row>
    <row r="5" spans="1:18" x14ac:dyDescent="0.2">
      <c r="A5" s="36">
        <v>1985</v>
      </c>
      <c r="B5" s="37">
        <v>2100</v>
      </c>
    </row>
    <row r="6" spans="1:18" x14ac:dyDescent="0.2">
      <c r="A6" s="36">
        <v>1986</v>
      </c>
      <c r="B6" s="37">
        <v>4200</v>
      </c>
    </row>
    <row r="7" spans="1:18" x14ac:dyDescent="0.2">
      <c r="A7" s="36">
        <v>1987</v>
      </c>
      <c r="B7" s="37">
        <v>6300</v>
      </c>
    </row>
    <row r="8" spans="1:18" x14ac:dyDescent="0.2">
      <c r="A8" s="36">
        <v>1988</v>
      </c>
      <c r="B8" s="37">
        <v>8400</v>
      </c>
    </row>
    <row r="9" spans="1:18" x14ac:dyDescent="0.2">
      <c r="A9" s="36">
        <v>1989</v>
      </c>
      <c r="B9" s="37">
        <v>10500</v>
      </c>
    </row>
    <row r="10" spans="1:18" x14ac:dyDescent="0.2">
      <c r="A10" s="36">
        <v>1990</v>
      </c>
      <c r="B10" s="37">
        <v>11200</v>
      </c>
    </row>
    <row r="11" spans="1:18" x14ac:dyDescent="0.2">
      <c r="A11" s="36" t="s">
        <v>124</v>
      </c>
      <c r="B11" s="37">
        <v>12600</v>
      </c>
    </row>
    <row r="12" spans="1:18" ht="13.5" thickBot="1" x14ac:dyDescent="0.25">
      <c r="A12" s="40" t="s">
        <v>125</v>
      </c>
      <c r="B12" s="41">
        <v>14000</v>
      </c>
    </row>
  </sheetData>
  <phoneticPr fontId="12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30CA-D4CB-4687-B8F3-1EDAF0515949}">
  <dimension ref="A1:AA79"/>
  <sheetViews>
    <sheetView showGridLines="0" zoomScaleNormal="100" workbookViewId="0">
      <selection activeCell="E26" sqref="E25:E26"/>
    </sheetView>
  </sheetViews>
  <sheetFormatPr defaultRowHeight="12.75" x14ac:dyDescent="0.2"/>
  <cols>
    <col min="1" max="1" width="50" style="54" customWidth="1"/>
    <col min="2" max="2" width="46" style="54" bestFit="1" customWidth="1"/>
    <col min="3" max="23" width="10.85546875" style="106" customWidth="1"/>
    <col min="24" max="25" width="10.7109375" style="106" customWidth="1"/>
    <col min="26" max="27" width="11.7109375" style="106" customWidth="1"/>
    <col min="28" max="28" width="9.140625" style="54"/>
    <col min="29" max="29" width="10.28515625" style="54" bestFit="1" customWidth="1"/>
    <col min="30" max="30" width="9.140625" style="54"/>
    <col min="31" max="31" width="11" style="54" customWidth="1"/>
    <col min="32" max="16384" width="9.140625" style="54"/>
  </cols>
  <sheetData>
    <row r="1" spans="1:27" ht="15" x14ac:dyDescent="0.2">
      <c r="A1" s="95" t="s">
        <v>104</v>
      </c>
      <c r="B1" s="29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</row>
    <row r="2" spans="1:27" ht="15.75" thickBot="1" x14ac:dyDescent="0.25">
      <c r="A2" s="89" t="s">
        <v>105</v>
      </c>
      <c r="B2" s="29"/>
      <c r="C2" s="98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9" t="s">
        <v>0</v>
      </c>
    </row>
    <row r="3" spans="1:27" ht="13.5" thickBot="1" x14ac:dyDescent="0.25">
      <c r="A3" s="42" t="s">
        <v>72</v>
      </c>
      <c r="B3" s="43"/>
      <c r="C3" s="44">
        <v>2001</v>
      </c>
      <c r="D3" s="44">
        <v>2002</v>
      </c>
      <c r="E3" s="44">
        <v>2003</v>
      </c>
      <c r="F3" s="44">
        <v>2004</v>
      </c>
      <c r="G3" s="44">
        <v>2005</v>
      </c>
      <c r="H3" s="44">
        <v>2006</v>
      </c>
      <c r="I3" s="44">
        <v>2007</v>
      </c>
      <c r="J3" s="44">
        <v>2008</v>
      </c>
      <c r="K3" s="44">
        <v>2009</v>
      </c>
      <c r="L3" s="44">
        <v>2010</v>
      </c>
      <c r="M3" s="44">
        <v>2011</v>
      </c>
      <c r="N3" s="44">
        <v>2012</v>
      </c>
      <c r="O3" s="44">
        <v>2013</v>
      </c>
      <c r="P3" s="44">
        <v>2014</v>
      </c>
      <c r="Q3" s="44">
        <v>2015</v>
      </c>
      <c r="R3" s="44">
        <v>2016</v>
      </c>
      <c r="S3" s="44">
        <v>2017</v>
      </c>
      <c r="T3" s="44">
        <v>2018</v>
      </c>
      <c r="U3" s="44" t="s">
        <v>126</v>
      </c>
      <c r="V3" s="44" t="s">
        <v>127</v>
      </c>
      <c r="W3" s="44" t="s">
        <v>128</v>
      </c>
      <c r="X3" s="44" t="s">
        <v>129</v>
      </c>
      <c r="Y3" s="44" t="s">
        <v>130</v>
      </c>
      <c r="Z3" s="44" t="s">
        <v>131</v>
      </c>
      <c r="AA3" s="44" t="s">
        <v>132</v>
      </c>
    </row>
    <row r="4" spans="1:27" x14ac:dyDescent="0.2">
      <c r="A4" s="120" t="s">
        <v>73</v>
      </c>
      <c r="B4" s="121"/>
      <c r="C4" s="68">
        <v>61554</v>
      </c>
      <c r="D4" s="69">
        <v>63501.5</v>
      </c>
      <c r="E4" s="69">
        <v>66460</v>
      </c>
      <c r="F4" s="69">
        <v>67777.5</v>
      </c>
      <c r="G4" s="69">
        <v>69630.600000000006</v>
      </c>
      <c r="H4" s="69">
        <v>72005</v>
      </c>
      <c r="I4" s="69">
        <v>74937</v>
      </c>
      <c r="J4" s="69">
        <v>74901</v>
      </c>
      <c r="K4" s="69">
        <v>75484</v>
      </c>
      <c r="L4" s="69">
        <v>77090</v>
      </c>
      <c r="M4" s="69">
        <v>78347.369000000006</v>
      </c>
      <c r="N4" s="69">
        <v>79956.339551177793</v>
      </c>
      <c r="O4" s="69">
        <v>81131.844136431086</v>
      </c>
      <c r="P4" s="69">
        <v>84094.838000000003</v>
      </c>
      <c r="Q4" s="69">
        <v>86366.478000000003</v>
      </c>
      <c r="R4" s="69">
        <v>91499.178329999995</v>
      </c>
      <c r="S4" s="69">
        <v>94661.994659999997</v>
      </c>
      <c r="T4" s="69">
        <v>98286.861209999988</v>
      </c>
      <c r="U4" s="69">
        <v>102998.876</v>
      </c>
      <c r="V4" s="69">
        <v>103026.876</v>
      </c>
      <c r="W4" s="69">
        <v>103003.36199999999</v>
      </c>
      <c r="X4" s="69">
        <v>103195.357</v>
      </c>
      <c r="Y4" s="69">
        <v>103197.79700000001</v>
      </c>
      <c r="Z4" s="69">
        <v>103197.79700000001</v>
      </c>
      <c r="AA4" s="57">
        <v>103235.22100000001</v>
      </c>
    </row>
    <row r="5" spans="1:27" x14ac:dyDescent="0.2">
      <c r="A5" s="122" t="s">
        <v>74</v>
      </c>
      <c r="B5" s="123"/>
      <c r="C5" s="62">
        <v>855</v>
      </c>
      <c r="D5" s="62">
        <v>895</v>
      </c>
      <c r="E5" s="62">
        <v>1151</v>
      </c>
      <c r="F5" s="62">
        <v>1220</v>
      </c>
      <c r="G5" s="62">
        <v>1330</v>
      </c>
      <c r="H5" s="62">
        <v>1566</v>
      </c>
      <c r="I5" s="62">
        <v>1820</v>
      </c>
      <c r="J5" s="62">
        <v>2490</v>
      </c>
      <c r="K5" s="62">
        <v>2953</v>
      </c>
      <c r="L5" s="62">
        <v>3428</v>
      </c>
      <c r="M5" s="62">
        <v>3896.0969390232754</v>
      </c>
      <c r="N5" s="62">
        <v>4101.186511923238</v>
      </c>
      <c r="O5" s="62">
        <v>4619.7684506339165</v>
      </c>
      <c r="P5" s="62">
        <v>4790</v>
      </c>
      <c r="Q5" s="62">
        <v>4886.1682999999994</v>
      </c>
      <c r="R5" s="62">
        <v>4941.36157</v>
      </c>
      <c r="S5" s="62">
        <v>5019.5747700000002</v>
      </c>
      <c r="T5" s="62">
        <v>5157.3795700000001</v>
      </c>
      <c r="U5" s="62">
        <v>5291.4615700000004</v>
      </c>
      <c r="V5" s="62">
        <v>5428.6815700000006</v>
      </c>
      <c r="W5" s="62">
        <v>5513.0465700000004</v>
      </c>
      <c r="X5" s="62">
        <v>5662.0185700000002</v>
      </c>
      <c r="Y5" s="62">
        <v>5801.6675700000005</v>
      </c>
      <c r="Z5" s="62">
        <v>5802.9065700000001</v>
      </c>
      <c r="AA5" s="58">
        <v>6017.1295700000001</v>
      </c>
    </row>
    <row r="6" spans="1:27" ht="13.5" thickBot="1" x14ac:dyDescent="0.25">
      <c r="A6" s="124" t="s">
        <v>75</v>
      </c>
      <c r="B6" s="125"/>
      <c r="C6" s="64">
        <v>0</v>
      </c>
      <c r="D6" s="64">
        <v>77</v>
      </c>
      <c r="E6" s="64">
        <v>87</v>
      </c>
      <c r="F6" s="64">
        <v>90</v>
      </c>
      <c r="G6" s="64">
        <v>98.5</v>
      </c>
      <c r="H6" s="64">
        <v>107</v>
      </c>
      <c r="I6" s="64">
        <v>112</v>
      </c>
      <c r="J6" s="64">
        <v>154</v>
      </c>
      <c r="K6" s="64">
        <v>173</v>
      </c>
      <c r="L6" s="64">
        <v>185.11765</v>
      </c>
      <c r="M6" s="64">
        <v>215.53406097671854</v>
      </c>
      <c r="N6" s="64">
        <v>236.47393689901511</v>
      </c>
      <c r="O6" s="64">
        <v>266.38741293499385</v>
      </c>
      <c r="P6" s="64">
        <v>308</v>
      </c>
      <c r="Q6" s="64">
        <v>397.55144000000001</v>
      </c>
      <c r="R6" s="64">
        <v>484.45841000000007</v>
      </c>
      <c r="S6" s="64">
        <v>593.83069999999998</v>
      </c>
      <c r="T6" s="64">
        <v>695.13845000000003</v>
      </c>
      <c r="U6" s="64">
        <v>767.83822999999995</v>
      </c>
      <c r="V6" s="64">
        <v>815.57884000000001</v>
      </c>
      <c r="W6" s="64">
        <v>833.66966999999988</v>
      </c>
      <c r="X6" s="64">
        <v>863.49041999999997</v>
      </c>
      <c r="Y6" s="64">
        <v>857.89125999999987</v>
      </c>
      <c r="Z6" s="64">
        <v>863.73225999999988</v>
      </c>
      <c r="AA6" s="59">
        <v>910.63003999999989</v>
      </c>
    </row>
    <row r="7" spans="1:27" ht="13.5" thickBot="1" x14ac:dyDescent="0.25">
      <c r="A7" s="118" t="s">
        <v>77</v>
      </c>
      <c r="B7" s="119"/>
      <c r="C7" s="70">
        <v>21</v>
      </c>
      <c r="D7" s="70">
        <v>22</v>
      </c>
      <c r="E7" s="70">
        <v>22</v>
      </c>
      <c r="F7" s="70">
        <v>29</v>
      </c>
      <c r="G7" s="70">
        <v>29</v>
      </c>
      <c r="H7" s="70">
        <v>237</v>
      </c>
      <c r="I7" s="70">
        <v>247</v>
      </c>
      <c r="J7" s="70">
        <v>398</v>
      </c>
      <c r="K7" s="70">
        <v>602</v>
      </c>
      <c r="L7" s="70">
        <v>926.88619999999992</v>
      </c>
      <c r="M7" s="70">
        <v>1425.6</v>
      </c>
      <c r="N7" s="70">
        <v>1892</v>
      </c>
      <c r="O7" s="70">
        <v>2202</v>
      </c>
      <c r="P7" s="70">
        <v>4888</v>
      </c>
      <c r="Q7" s="70">
        <v>7632.732</v>
      </c>
      <c r="R7" s="70">
        <v>10123.942220000001</v>
      </c>
      <c r="S7" s="70">
        <v>12283.242860000002</v>
      </c>
      <c r="T7" s="70">
        <v>14390.29286</v>
      </c>
      <c r="U7" s="70">
        <v>15377.852860000001</v>
      </c>
      <c r="V7" s="70">
        <v>17131.162860000019</v>
      </c>
      <c r="W7" s="70">
        <v>20771.078860000001</v>
      </c>
      <c r="X7" s="70">
        <v>23744.12386</v>
      </c>
      <c r="Y7" s="70">
        <v>28664.423859999999</v>
      </c>
      <c r="Z7" s="70">
        <v>29532.62386</v>
      </c>
      <c r="AA7" s="60">
        <v>34689.153859999999</v>
      </c>
    </row>
    <row r="8" spans="1:27" ht="13.5" thickBot="1" x14ac:dyDescent="0.25">
      <c r="A8" s="118" t="s">
        <v>78</v>
      </c>
      <c r="B8" s="119"/>
      <c r="C8" s="70">
        <v>0</v>
      </c>
      <c r="D8" s="70">
        <v>0</v>
      </c>
      <c r="E8" s="70">
        <v>0</v>
      </c>
      <c r="F8" s="70">
        <v>0</v>
      </c>
      <c r="G8" s="70">
        <v>0</v>
      </c>
      <c r="H8" s="70">
        <v>0</v>
      </c>
      <c r="I8" s="70">
        <v>0</v>
      </c>
      <c r="J8" s="70">
        <v>0</v>
      </c>
      <c r="K8" s="70">
        <v>0</v>
      </c>
      <c r="L8" s="70">
        <v>1</v>
      </c>
      <c r="M8" s="70">
        <v>1</v>
      </c>
      <c r="N8" s="70">
        <v>2</v>
      </c>
      <c r="O8" s="70">
        <v>5</v>
      </c>
      <c r="P8" s="70">
        <v>15</v>
      </c>
      <c r="Q8" s="70">
        <v>21.3469184</v>
      </c>
      <c r="R8" s="70">
        <v>23.761420000000001</v>
      </c>
      <c r="S8" s="70">
        <v>935.32463000000007</v>
      </c>
      <c r="T8" s="70">
        <v>1797.5802600000002</v>
      </c>
      <c r="U8" s="70">
        <v>2473.4318999999996</v>
      </c>
      <c r="V8" s="70">
        <v>3287.1142499999992</v>
      </c>
      <c r="W8" s="70">
        <v>4632.2455600000003</v>
      </c>
      <c r="X8" s="70">
        <v>7387.1108699999986</v>
      </c>
      <c r="Y8" s="70">
        <v>11476.974870002703</v>
      </c>
      <c r="Z8" s="70">
        <v>12576.265200002708</v>
      </c>
      <c r="AA8" s="60">
        <v>20051.696570000007</v>
      </c>
    </row>
    <row r="9" spans="1:27" x14ac:dyDescent="0.2">
      <c r="A9" s="126" t="s">
        <v>76</v>
      </c>
      <c r="B9" s="50" t="s">
        <v>36</v>
      </c>
      <c r="C9" s="71">
        <v>10481</v>
      </c>
      <c r="D9" s="71">
        <v>13812.6</v>
      </c>
      <c r="E9" s="71">
        <v>16130</v>
      </c>
      <c r="F9" s="71">
        <v>19555.599999999999</v>
      </c>
      <c r="G9" s="71">
        <v>19770</v>
      </c>
      <c r="H9" s="71">
        <v>20372</v>
      </c>
      <c r="I9" s="71">
        <v>21228.992118500064</v>
      </c>
      <c r="J9" s="71">
        <v>22999.000000000004</v>
      </c>
      <c r="K9" s="71">
        <v>25351.115999999995</v>
      </c>
      <c r="L9" s="71">
        <v>29688.939439243699</v>
      </c>
      <c r="M9" s="71">
        <v>31242.5</v>
      </c>
      <c r="N9" s="71">
        <v>32777.999999999993</v>
      </c>
      <c r="O9" s="71">
        <v>36528.000000000007</v>
      </c>
      <c r="P9" s="71">
        <v>37827.000000000007</v>
      </c>
      <c r="Q9" s="71">
        <v>39563.815909571393</v>
      </c>
      <c r="R9" s="71">
        <v>41274.875209999991</v>
      </c>
      <c r="S9" s="71">
        <v>41536.708240000007</v>
      </c>
      <c r="T9" s="71">
        <v>40522.827490000003</v>
      </c>
      <c r="U9" s="71">
        <v>41218.561590000005</v>
      </c>
      <c r="V9" s="71">
        <v>43057.099389999974</v>
      </c>
      <c r="W9" s="71">
        <v>44866.325290000001</v>
      </c>
      <c r="X9" s="71">
        <v>46284.492810000003</v>
      </c>
      <c r="Y9" s="71">
        <v>47335.818010000003</v>
      </c>
      <c r="Z9" s="71">
        <v>46239.04730999998</v>
      </c>
      <c r="AA9" s="71">
        <v>49044.922359999968</v>
      </c>
    </row>
    <row r="10" spans="1:27" x14ac:dyDescent="0.2">
      <c r="A10" s="127"/>
      <c r="B10" s="45" t="s">
        <v>52</v>
      </c>
      <c r="C10" s="58">
        <v>0</v>
      </c>
      <c r="D10" s="58">
        <v>0</v>
      </c>
      <c r="E10" s="58">
        <v>0</v>
      </c>
      <c r="F10" s="58">
        <v>0</v>
      </c>
      <c r="G10" s="58">
        <v>3338.3839214908799</v>
      </c>
      <c r="H10" s="58">
        <v>3702.3552008741581</v>
      </c>
      <c r="I10" s="58">
        <v>4103.1890000000003</v>
      </c>
      <c r="J10" s="58">
        <v>5054.1451846970876</v>
      </c>
      <c r="K10" s="58">
        <v>5717.2764335091342</v>
      </c>
      <c r="L10" s="58">
        <v>7927.1859999999997</v>
      </c>
      <c r="M10" s="58">
        <v>9027.7659481943174</v>
      </c>
      <c r="N10" s="58">
        <v>9922.9602613730094</v>
      </c>
      <c r="O10" s="58">
        <v>11601.2724871625</v>
      </c>
      <c r="P10" s="58">
        <v>12341.2924</v>
      </c>
      <c r="Q10" s="58">
        <v>13256.624649999996</v>
      </c>
      <c r="R10" s="58">
        <v>14146.949719395277</v>
      </c>
      <c r="S10" s="58">
        <v>14505.317449999999</v>
      </c>
      <c r="T10" s="58">
        <v>14789.935449999997</v>
      </c>
      <c r="U10" s="58">
        <v>14977.917449999997</v>
      </c>
      <c r="V10" s="58">
        <v>15306.003449999986</v>
      </c>
      <c r="W10" s="58">
        <v>15899.910449999996</v>
      </c>
      <c r="X10" s="58">
        <v>16583.716249999998</v>
      </c>
      <c r="Y10" s="58">
        <v>16795.294849999998</v>
      </c>
      <c r="Z10" s="58">
        <v>16751.557849999994</v>
      </c>
      <c r="AA10" s="58">
        <v>17851.847249999999</v>
      </c>
    </row>
    <row r="11" spans="1:27" x14ac:dyDescent="0.2">
      <c r="A11" s="127"/>
      <c r="B11" s="46" t="s">
        <v>53</v>
      </c>
      <c r="C11" s="62">
        <v>0</v>
      </c>
      <c r="D11" s="62">
        <v>0</v>
      </c>
      <c r="E11" s="62">
        <v>0</v>
      </c>
      <c r="F11" s="62">
        <v>0</v>
      </c>
      <c r="G11" s="62">
        <v>2298.4839214908802</v>
      </c>
      <c r="H11" s="62">
        <v>2644.0212008741582</v>
      </c>
      <c r="I11" s="62">
        <v>3022.9050000000002</v>
      </c>
      <c r="J11" s="72">
        <v>3687.0856846970873</v>
      </c>
      <c r="K11" s="62">
        <v>4095.6664335091345</v>
      </c>
      <c r="L11" s="62">
        <v>6183.3510000000006</v>
      </c>
      <c r="M11" s="62">
        <v>7213.0955481943174</v>
      </c>
      <c r="N11" s="62">
        <v>8095.0952613730078</v>
      </c>
      <c r="O11" s="62">
        <v>9435.4074871624998</v>
      </c>
      <c r="P11" s="62">
        <v>9881</v>
      </c>
      <c r="Q11" s="62">
        <v>10573.080199999997</v>
      </c>
      <c r="R11" s="62">
        <v>10978.542199999982</v>
      </c>
      <c r="S11" s="62">
        <v>11157.9352</v>
      </c>
      <c r="T11" s="62">
        <v>11367.548199999997</v>
      </c>
      <c r="U11" s="62">
        <v>11438.302199999998</v>
      </c>
      <c r="V11" s="62">
        <v>11712.022199999989</v>
      </c>
      <c r="W11" s="62">
        <v>11680.646199999996</v>
      </c>
      <c r="X11" s="62">
        <v>11862.066199999996</v>
      </c>
      <c r="Y11" s="62">
        <v>11987.661199999999</v>
      </c>
      <c r="Z11" s="62">
        <v>11912.466199999995</v>
      </c>
      <c r="AA11" s="62">
        <v>12485.707199999999</v>
      </c>
    </row>
    <row r="12" spans="1:27" x14ac:dyDescent="0.2">
      <c r="A12" s="127"/>
      <c r="B12" s="47" t="s">
        <v>54</v>
      </c>
      <c r="C12" s="58">
        <v>0</v>
      </c>
      <c r="D12" s="58">
        <v>0</v>
      </c>
      <c r="E12" s="58">
        <v>0</v>
      </c>
      <c r="F12" s="58">
        <v>0</v>
      </c>
      <c r="G12" s="58">
        <v>1039.8999999999996</v>
      </c>
      <c r="H12" s="58">
        <v>1058.3339999999998</v>
      </c>
      <c r="I12" s="58">
        <v>1080.2840000000001</v>
      </c>
      <c r="J12" s="58">
        <v>1367.0595000000001</v>
      </c>
      <c r="K12" s="58">
        <v>1621.6100000000001</v>
      </c>
      <c r="L12" s="58">
        <v>1743.8349999999989</v>
      </c>
      <c r="M12" s="58">
        <v>1814.6704</v>
      </c>
      <c r="N12" s="58">
        <v>1827.8650000000009</v>
      </c>
      <c r="O12" s="58">
        <v>2165.8649999999989</v>
      </c>
      <c r="P12" s="58">
        <v>2460.2924000000003</v>
      </c>
      <c r="Q12" s="58">
        <v>2683.5444499999994</v>
      </c>
      <c r="R12" s="58">
        <v>3168.4075193952949</v>
      </c>
      <c r="S12" s="58">
        <v>3347.3822499999997</v>
      </c>
      <c r="T12" s="58">
        <v>3422.3872499999998</v>
      </c>
      <c r="U12" s="58">
        <v>3539.6152499999998</v>
      </c>
      <c r="V12" s="58">
        <v>3593.9812499999962</v>
      </c>
      <c r="W12" s="58">
        <v>4219.2642500000002</v>
      </c>
      <c r="X12" s="58">
        <v>4721.6500500000002</v>
      </c>
      <c r="Y12" s="58">
        <v>4807.6336499999998</v>
      </c>
      <c r="Z12" s="58">
        <v>4839.0916499999994</v>
      </c>
      <c r="AA12" s="58">
        <v>5366.14005</v>
      </c>
    </row>
    <row r="13" spans="1:27" x14ac:dyDescent="0.2">
      <c r="A13" s="127"/>
      <c r="B13" s="48" t="s">
        <v>55</v>
      </c>
      <c r="C13" s="62">
        <v>0</v>
      </c>
      <c r="D13" s="62">
        <v>0</v>
      </c>
      <c r="E13" s="62">
        <v>0</v>
      </c>
      <c r="F13" s="62">
        <v>0</v>
      </c>
      <c r="G13" s="62">
        <v>19.630000000000003</v>
      </c>
      <c r="H13" s="62">
        <v>20.03</v>
      </c>
      <c r="I13" s="62">
        <v>20.03</v>
      </c>
      <c r="J13" s="62">
        <v>32.350999999999999</v>
      </c>
      <c r="K13" s="62">
        <v>44.671999999999997</v>
      </c>
      <c r="L13" s="62">
        <v>68.441999999999993</v>
      </c>
      <c r="M13" s="62">
        <v>70.822000000000003</v>
      </c>
      <c r="N13" s="62">
        <v>79</v>
      </c>
      <c r="O13" s="62">
        <v>79.593999999999994</v>
      </c>
      <c r="P13" s="62">
        <v>69.856999999999999</v>
      </c>
      <c r="Q13" s="62">
        <v>84.139999999999986</v>
      </c>
      <c r="R13" s="62">
        <v>118.63319999999999</v>
      </c>
      <c r="S13" s="62">
        <v>135.15379999999999</v>
      </c>
      <c r="T13" s="62">
        <v>139.9838</v>
      </c>
      <c r="U13" s="62">
        <v>186.03079999999997</v>
      </c>
      <c r="V13" s="62">
        <v>205.5368</v>
      </c>
      <c r="W13" s="62">
        <v>227.75299999999999</v>
      </c>
      <c r="X13" s="62">
        <v>236.02379999999999</v>
      </c>
      <c r="Y13" s="62">
        <v>233.24299999999997</v>
      </c>
      <c r="Z13" s="62">
        <v>233.25199999999995</v>
      </c>
      <c r="AA13" s="62">
        <v>246.39939999999999</v>
      </c>
    </row>
    <row r="14" spans="1:27" x14ac:dyDescent="0.2">
      <c r="A14" s="127"/>
      <c r="B14" s="48" t="s">
        <v>56</v>
      </c>
      <c r="C14" s="62">
        <v>0</v>
      </c>
      <c r="D14" s="62">
        <v>0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31.7</v>
      </c>
      <c r="N14" s="62">
        <v>31.7</v>
      </c>
      <c r="O14" s="62">
        <v>31.7</v>
      </c>
      <c r="P14" s="62">
        <v>31.7</v>
      </c>
      <c r="Q14" s="62">
        <v>31.7</v>
      </c>
      <c r="R14" s="62">
        <v>65.7</v>
      </c>
      <c r="S14" s="62">
        <v>31.7</v>
      </c>
      <c r="T14" s="62">
        <v>31.7</v>
      </c>
      <c r="U14" s="62">
        <v>31.7</v>
      </c>
      <c r="V14" s="62">
        <v>31.7</v>
      </c>
      <c r="W14" s="62">
        <v>31.7</v>
      </c>
      <c r="X14" s="62">
        <v>31.7</v>
      </c>
      <c r="Y14" s="62">
        <v>41.5</v>
      </c>
      <c r="Z14" s="62">
        <v>41.5</v>
      </c>
      <c r="AA14" s="62">
        <v>19.635999999999999</v>
      </c>
    </row>
    <row r="15" spans="1:27" x14ac:dyDescent="0.2">
      <c r="A15" s="127"/>
      <c r="B15" s="48" t="s">
        <v>57</v>
      </c>
      <c r="C15" s="62">
        <v>0</v>
      </c>
      <c r="D15" s="62">
        <v>0</v>
      </c>
      <c r="E15" s="62">
        <v>0</v>
      </c>
      <c r="F15" s="62">
        <v>0</v>
      </c>
      <c r="G15" s="62">
        <v>8</v>
      </c>
      <c r="H15" s="62">
        <v>8</v>
      </c>
      <c r="I15" s="62">
        <v>8</v>
      </c>
      <c r="J15" s="62">
        <v>16.600000000000001</v>
      </c>
      <c r="K15" s="62">
        <v>25.2</v>
      </c>
      <c r="L15" s="62">
        <v>25.2</v>
      </c>
      <c r="M15" s="62">
        <v>25.2</v>
      </c>
      <c r="N15" s="62">
        <v>25.2</v>
      </c>
      <c r="O15" s="62">
        <v>25.2</v>
      </c>
      <c r="P15" s="62">
        <v>51.4</v>
      </c>
      <c r="Q15" s="62">
        <v>51.428999999999995</v>
      </c>
      <c r="R15" s="62">
        <v>54.097000000000001</v>
      </c>
      <c r="S15" s="62">
        <v>43.197000000000003</v>
      </c>
      <c r="T15" s="62">
        <v>43.197000000000003</v>
      </c>
      <c r="U15" s="62">
        <v>48.197000000000003</v>
      </c>
      <c r="V15" s="62">
        <v>38.197000000000003</v>
      </c>
      <c r="W15" s="62">
        <v>38.197000000000003</v>
      </c>
      <c r="X15" s="62">
        <v>38.197000000000003</v>
      </c>
      <c r="Y15" s="62">
        <v>30.196999999999999</v>
      </c>
      <c r="Z15" s="62">
        <v>30.196999999999999</v>
      </c>
      <c r="AA15" s="62">
        <v>30.196999999999999</v>
      </c>
    </row>
    <row r="16" spans="1:27" x14ac:dyDescent="0.2">
      <c r="A16" s="127"/>
      <c r="B16" s="48" t="s">
        <v>58</v>
      </c>
      <c r="C16" s="62">
        <v>0</v>
      </c>
      <c r="D16" s="62">
        <v>0</v>
      </c>
      <c r="E16" s="62">
        <v>0</v>
      </c>
      <c r="F16" s="62">
        <v>0</v>
      </c>
      <c r="G16" s="62">
        <v>6.4</v>
      </c>
      <c r="H16" s="62">
        <v>6.4</v>
      </c>
      <c r="I16" s="62">
        <v>18.920000000000002</v>
      </c>
      <c r="J16" s="62">
        <v>25.164000000000001</v>
      </c>
      <c r="K16" s="62">
        <v>31.408000000000001</v>
      </c>
      <c r="L16" s="62">
        <v>18.908000000000001</v>
      </c>
      <c r="M16" s="62">
        <v>32.607999999999997</v>
      </c>
      <c r="N16" s="62">
        <v>36.433</v>
      </c>
      <c r="O16" s="62">
        <v>36.433</v>
      </c>
      <c r="P16" s="62">
        <v>37.533000000000001</v>
      </c>
      <c r="Q16" s="62">
        <v>45.332999999999998</v>
      </c>
      <c r="R16" s="62">
        <v>45.332999999999998</v>
      </c>
      <c r="S16" s="62">
        <v>45.332999999999998</v>
      </c>
      <c r="T16" s="62">
        <v>45.332999999999998</v>
      </c>
      <c r="U16" s="62">
        <v>53.332999999999998</v>
      </c>
      <c r="V16" s="62">
        <v>53.332999999999998</v>
      </c>
      <c r="W16" s="62">
        <v>53.332999999999998</v>
      </c>
      <c r="X16" s="62">
        <v>53.332999999999998</v>
      </c>
      <c r="Y16" s="62">
        <v>59.458599999999997</v>
      </c>
      <c r="Z16" s="62">
        <v>59.458599999999997</v>
      </c>
      <c r="AA16" s="62">
        <v>89.458600000000004</v>
      </c>
    </row>
    <row r="17" spans="1:27" x14ac:dyDescent="0.2">
      <c r="A17" s="127"/>
      <c r="B17" s="48" t="s">
        <v>59</v>
      </c>
      <c r="C17" s="62">
        <v>0</v>
      </c>
      <c r="D17" s="62">
        <v>0</v>
      </c>
      <c r="E17" s="62">
        <v>0</v>
      </c>
      <c r="F17" s="62">
        <v>0</v>
      </c>
      <c r="G17" s="62">
        <v>21.5</v>
      </c>
      <c r="H17" s="62">
        <v>22.31</v>
      </c>
      <c r="I17" s="62">
        <v>22.31</v>
      </c>
      <c r="J17" s="62">
        <v>70</v>
      </c>
      <c r="K17" s="62">
        <v>85.465000000000003</v>
      </c>
      <c r="L17" s="62">
        <v>87.864999999999995</v>
      </c>
      <c r="M17" s="62">
        <v>87.864999999999995</v>
      </c>
      <c r="N17" s="62">
        <v>92.864999999999995</v>
      </c>
      <c r="O17" s="62">
        <v>92.864999999999995</v>
      </c>
      <c r="P17" s="62">
        <v>107.86499999999999</v>
      </c>
      <c r="Q17" s="62">
        <v>111.86505</v>
      </c>
      <c r="R17" s="62">
        <v>115.26505</v>
      </c>
      <c r="S17" s="62">
        <v>114.26505</v>
      </c>
      <c r="T17" s="62">
        <v>127.70505</v>
      </c>
      <c r="U17" s="62">
        <v>127.70505</v>
      </c>
      <c r="V17" s="62">
        <v>127.70505</v>
      </c>
      <c r="W17" s="62">
        <v>127.70505</v>
      </c>
      <c r="X17" s="62">
        <v>127.70505</v>
      </c>
      <c r="Y17" s="62">
        <v>124.26505</v>
      </c>
      <c r="Z17" s="62">
        <v>124.26505</v>
      </c>
      <c r="AA17" s="62">
        <v>124.26505</v>
      </c>
    </row>
    <row r="18" spans="1:27" x14ac:dyDescent="0.2">
      <c r="A18" s="127"/>
      <c r="B18" s="52" t="s">
        <v>79</v>
      </c>
      <c r="C18" s="62">
        <v>0</v>
      </c>
      <c r="D18" s="62">
        <v>0</v>
      </c>
      <c r="E18" s="62">
        <v>0</v>
      </c>
      <c r="F18" s="62">
        <v>0</v>
      </c>
      <c r="G18" s="62">
        <v>782.53799999999978</v>
      </c>
      <c r="H18" s="62">
        <v>785.26199999999994</v>
      </c>
      <c r="I18" s="62">
        <v>794.81700000000001</v>
      </c>
      <c r="J18" s="62">
        <v>970.3075</v>
      </c>
      <c r="K18" s="62">
        <v>1145.798</v>
      </c>
      <c r="L18" s="62">
        <v>1240.792999999999</v>
      </c>
      <c r="M18" s="62">
        <v>1245.1980000000001</v>
      </c>
      <c r="N18" s="62">
        <v>1235.981600000001</v>
      </c>
      <c r="O18" s="62">
        <v>1529.787599999999</v>
      </c>
      <c r="P18" s="62">
        <v>1785.1020000000001</v>
      </c>
      <c r="Q18" s="62">
        <v>1923.136</v>
      </c>
      <c r="R18" s="62">
        <v>2332.9518154748698</v>
      </c>
      <c r="S18" s="62">
        <v>2542.616</v>
      </c>
      <c r="T18" s="62">
        <v>2556.2159999999999</v>
      </c>
      <c r="U18" s="62">
        <v>2544.319</v>
      </c>
      <c r="V18" s="62">
        <v>2541.2189999999964</v>
      </c>
      <c r="W18" s="62">
        <v>2966.7628</v>
      </c>
      <c r="X18" s="62">
        <v>3304.2628</v>
      </c>
      <c r="Y18" s="62">
        <v>3297.9727999999996</v>
      </c>
      <c r="Z18" s="62">
        <v>3329.4217999999996</v>
      </c>
      <c r="AA18" s="62">
        <v>3722.3767999999995</v>
      </c>
    </row>
    <row r="19" spans="1:27" x14ac:dyDescent="0.2">
      <c r="A19" s="127"/>
      <c r="B19" s="48" t="s">
        <v>60</v>
      </c>
      <c r="C19" s="6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>
        <v>4.3503999999999996</v>
      </c>
      <c r="N19" s="62">
        <v>4.3503999999999996</v>
      </c>
      <c r="O19" s="62">
        <v>4.3503999999999996</v>
      </c>
      <c r="P19" s="62">
        <v>19.110400000000002</v>
      </c>
      <c r="Q19" s="62">
        <v>26.900400000000001</v>
      </c>
      <c r="R19" s="62">
        <v>4.3503999999999996</v>
      </c>
      <c r="S19" s="62">
        <v>4.3503999999999996</v>
      </c>
      <c r="T19" s="62">
        <v>4.3503999999999996</v>
      </c>
      <c r="U19" s="62">
        <v>4.3503999999999996</v>
      </c>
      <c r="V19" s="62">
        <v>4.3503999999999996</v>
      </c>
      <c r="W19" s="62">
        <v>4.3503999999999996</v>
      </c>
      <c r="X19" s="62">
        <v>17.180399999999999</v>
      </c>
      <c r="Y19" s="62">
        <v>17.180399999999999</v>
      </c>
      <c r="Z19" s="62">
        <v>17.180399999999999</v>
      </c>
      <c r="AA19" s="62">
        <v>17.810400000000001</v>
      </c>
    </row>
    <row r="20" spans="1:27" x14ac:dyDescent="0.2">
      <c r="A20" s="127"/>
      <c r="B20" s="48" t="s">
        <v>41</v>
      </c>
      <c r="C20" s="62">
        <v>0</v>
      </c>
      <c r="D20" s="62">
        <v>0</v>
      </c>
      <c r="E20" s="62">
        <v>0</v>
      </c>
      <c r="F20" s="62">
        <v>0</v>
      </c>
      <c r="G20" s="62">
        <v>201.83199999999999</v>
      </c>
      <c r="H20" s="62">
        <v>216.33199999999999</v>
      </c>
      <c r="I20" s="62">
        <v>216.20699999999999</v>
      </c>
      <c r="J20" s="62">
        <v>252.637</v>
      </c>
      <c r="K20" s="62">
        <v>289.06700000000001</v>
      </c>
      <c r="L20" s="62">
        <v>302.62700000000001</v>
      </c>
      <c r="M20" s="62">
        <v>316.92700000000002</v>
      </c>
      <c r="N20" s="62">
        <v>322.33499999999998</v>
      </c>
      <c r="O20" s="62">
        <v>365.935</v>
      </c>
      <c r="P20" s="62">
        <v>357.72500000000002</v>
      </c>
      <c r="Q20" s="62">
        <v>409.04099999999994</v>
      </c>
      <c r="R20" s="62">
        <v>432.07705392042544</v>
      </c>
      <c r="S20" s="62">
        <v>430.767</v>
      </c>
      <c r="T20" s="62">
        <v>473.90199999999999</v>
      </c>
      <c r="U20" s="62">
        <v>543.98</v>
      </c>
      <c r="V20" s="62">
        <v>591.93999999999994</v>
      </c>
      <c r="W20" s="62">
        <v>769.46299999999997</v>
      </c>
      <c r="X20" s="62">
        <v>913.24799999999982</v>
      </c>
      <c r="Y20" s="62">
        <v>1003.8167999999999</v>
      </c>
      <c r="Z20" s="62">
        <v>1003.8167999999999</v>
      </c>
      <c r="AA20" s="62">
        <v>1115.9968000000001</v>
      </c>
    </row>
    <row r="21" spans="1:27" x14ac:dyDescent="0.2">
      <c r="A21" s="127"/>
      <c r="B21" s="45" t="s">
        <v>80</v>
      </c>
      <c r="C21" s="58">
        <v>0</v>
      </c>
      <c r="D21" s="58">
        <v>0</v>
      </c>
      <c r="E21" s="58">
        <v>0</v>
      </c>
      <c r="F21" s="58">
        <v>0</v>
      </c>
      <c r="G21" s="73">
        <v>15809.068078509121</v>
      </c>
      <c r="H21" s="73">
        <v>16035.096799125844</v>
      </c>
      <c r="I21" s="73">
        <v>16278.835118500063</v>
      </c>
      <c r="J21" s="73">
        <v>17097.974315302916</v>
      </c>
      <c r="K21" s="73">
        <v>18754.82156649086</v>
      </c>
      <c r="L21" s="73">
        <v>20373.335439243696</v>
      </c>
      <c r="M21" s="73">
        <v>20818.416051805681</v>
      </c>
      <c r="N21" s="73">
        <v>21444.221738626984</v>
      </c>
      <c r="O21" s="73">
        <v>23589.729512837504</v>
      </c>
      <c r="P21" s="73">
        <v>24148.709600000006</v>
      </c>
      <c r="Q21" s="73">
        <v>24960.838502697647</v>
      </c>
      <c r="R21" s="73">
        <v>25549.764260667191</v>
      </c>
      <c r="S21" s="73">
        <v>25452.857569091742</v>
      </c>
      <c r="T21" s="73">
        <v>24126.887637004067</v>
      </c>
      <c r="U21" s="73">
        <v>24641.909737004065</v>
      </c>
      <c r="V21" s="73">
        <v>26171.861537004057</v>
      </c>
      <c r="W21" s="73">
        <v>27431.180437004066</v>
      </c>
      <c r="X21" s="73">
        <v>28171.54215700406</v>
      </c>
      <c r="Y21" s="73">
        <v>28994.522841279548</v>
      </c>
      <c r="Z21" s="73">
        <v>27947.48914127953</v>
      </c>
      <c r="AA21" s="73">
        <v>29571.803545106592</v>
      </c>
    </row>
    <row r="22" spans="1:27" x14ac:dyDescent="0.2">
      <c r="A22" s="127"/>
      <c r="B22" s="48" t="s">
        <v>61</v>
      </c>
      <c r="C22" s="62">
        <v>0</v>
      </c>
      <c r="D22" s="62">
        <v>0</v>
      </c>
      <c r="E22" s="62">
        <v>0</v>
      </c>
      <c r="F22" s="62">
        <v>0</v>
      </c>
      <c r="G22" s="62">
        <v>1415</v>
      </c>
      <c r="H22" s="62">
        <v>1415</v>
      </c>
      <c r="I22" s="62">
        <v>1415</v>
      </c>
      <c r="J22" s="62">
        <v>1472.652</v>
      </c>
      <c r="K22" s="62">
        <v>1530.3040000000001</v>
      </c>
      <c r="L22" s="62">
        <v>1944.0540000000001</v>
      </c>
      <c r="M22" s="62">
        <v>1944.0540000000001</v>
      </c>
      <c r="N22" s="62">
        <v>2304.1909999999998</v>
      </c>
      <c r="O22" s="62">
        <v>3389.4650000000001</v>
      </c>
      <c r="P22" s="62">
        <v>3389.4650000000001</v>
      </c>
      <c r="Q22" s="62">
        <v>3389.4649999999997</v>
      </c>
      <c r="R22" s="62">
        <v>3389.4649999999997</v>
      </c>
      <c r="S22" s="62">
        <v>3323.74</v>
      </c>
      <c r="T22" s="62">
        <v>2857.7400000000002</v>
      </c>
      <c r="U22" s="62">
        <v>3227.7400000000002</v>
      </c>
      <c r="V22" s="62">
        <v>3202.7400000000002</v>
      </c>
      <c r="W22" s="62">
        <v>3202.7400000000002</v>
      </c>
      <c r="X22" s="62">
        <v>3202.7400000000002</v>
      </c>
      <c r="Y22" s="62">
        <v>3085.7400000000002</v>
      </c>
      <c r="Z22" s="62">
        <v>3085.7400000000002</v>
      </c>
      <c r="AA22" s="62">
        <v>3085.7400000000002</v>
      </c>
    </row>
    <row r="23" spans="1:27" x14ac:dyDescent="0.2">
      <c r="A23" s="127"/>
      <c r="B23" s="48" t="s">
        <v>62</v>
      </c>
      <c r="C23" s="62">
        <v>0</v>
      </c>
      <c r="D23" s="62">
        <v>0</v>
      </c>
      <c r="E23" s="62">
        <v>0</v>
      </c>
      <c r="F23" s="62">
        <v>0</v>
      </c>
      <c r="G23" s="62">
        <v>281.7</v>
      </c>
      <c r="H23" s="62">
        <v>281.7</v>
      </c>
      <c r="I23" s="62">
        <v>281.7</v>
      </c>
      <c r="J23" s="62">
        <v>281.85000000000002</v>
      </c>
      <c r="K23" s="62">
        <v>282</v>
      </c>
      <c r="L23" s="62">
        <v>305</v>
      </c>
      <c r="M23" s="62">
        <v>305</v>
      </c>
      <c r="N23" s="62">
        <v>341.6</v>
      </c>
      <c r="O23" s="62">
        <v>253.8</v>
      </c>
      <c r="P23" s="62">
        <v>321.26759999999996</v>
      </c>
      <c r="Q23" s="62">
        <v>315.56</v>
      </c>
      <c r="R23" s="62">
        <v>315.56</v>
      </c>
      <c r="S23" s="62">
        <v>315.56</v>
      </c>
      <c r="T23" s="62">
        <v>319.53000000000003</v>
      </c>
      <c r="U23" s="62">
        <v>319.53000000000003</v>
      </c>
      <c r="V23" s="62">
        <v>319.53000000000003</v>
      </c>
      <c r="W23" s="62">
        <v>319.53000000000003</v>
      </c>
      <c r="X23" s="62">
        <v>319.53000000000003</v>
      </c>
      <c r="Y23" s="62">
        <v>359.67</v>
      </c>
      <c r="Z23" s="62">
        <v>359.67</v>
      </c>
      <c r="AA23" s="62">
        <v>459.67</v>
      </c>
    </row>
    <row r="24" spans="1:27" x14ac:dyDescent="0.2">
      <c r="A24" s="127"/>
      <c r="B24" s="48" t="s">
        <v>63</v>
      </c>
      <c r="C24" s="62">
        <v>0</v>
      </c>
      <c r="D24" s="62">
        <v>0</v>
      </c>
      <c r="E24" s="62">
        <v>0</v>
      </c>
      <c r="F24" s="62">
        <v>0</v>
      </c>
      <c r="G24" s="62">
        <v>9637.5995516360308</v>
      </c>
      <c r="H24" s="62">
        <v>9819.9724023415838</v>
      </c>
      <c r="I24" s="62">
        <v>10193.525161089694</v>
      </c>
      <c r="J24" s="62">
        <v>10352.524771832826</v>
      </c>
      <c r="K24" s="62">
        <v>11755.926728749957</v>
      </c>
      <c r="L24" s="62">
        <v>11254.844994745006</v>
      </c>
      <c r="M24" s="62">
        <v>11525.257835894214</v>
      </c>
      <c r="N24" s="62">
        <v>11439.114888525995</v>
      </c>
      <c r="O24" s="62">
        <v>12300.288649978887</v>
      </c>
      <c r="P24" s="62">
        <v>12550</v>
      </c>
      <c r="Q24" s="62">
        <v>12427.736202869661</v>
      </c>
      <c r="R24" s="62">
        <v>12964.558339999998</v>
      </c>
      <c r="S24" s="62">
        <v>12980.311219999998</v>
      </c>
      <c r="T24" s="62">
        <v>13359.313790000002</v>
      </c>
      <c r="U24" s="62">
        <v>13385.232790000002</v>
      </c>
      <c r="V24" s="62">
        <v>14926.664389999994</v>
      </c>
      <c r="W24" s="62">
        <v>16218.939390000003</v>
      </c>
      <c r="X24" s="62">
        <v>17437.061389999999</v>
      </c>
      <c r="Y24" s="62">
        <v>18256.94039</v>
      </c>
      <c r="Z24" s="62">
        <v>17910.51239</v>
      </c>
      <c r="AA24" s="62">
        <v>19340.40933941949</v>
      </c>
    </row>
    <row r="25" spans="1:27" x14ac:dyDescent="0.2">
      <c r="A25" s="127"/>
      <c r="B25" s="48" t="s">
        <v>64</v>
      </c>
      <c r="C25" s="62">
        <v>0</v>
      </c>
      <c r="D25" s="62">
        <v>0</v>
      </c>
      <c r="E25" s="62">
        <v>0</v>
      </c>
      <c r="F25" s="62">
        <v>0</v>
      </c>
      <c r="G25" s="62">
        <v>1008.5955456372695</v>
      </c>
      <c r="H25" s="62">
        <v>1271.3391310431318</v>
      </c>
      <c r="I25" s="62">
        <v>1338.8970684276553</v>
      </c>
      <c r="J25" s="62">
        <v>1514.470130907293</v>
      </c>
      <c r="K25" s="62">
        <v>1564.4907710431326</v>
      </c>
      <c r="L25" s="62">
        <v>2731.712454066876</v>
      </c>
      <c r="M25" s="62">
        <v>3027.7945226137754</v>
      </c>
      <c r="N25" s="62">
        <v>3801.2113256574498</v>
      </c>
      <c r="O25" s="62">
        <v>3964.5165609139785</v>
      </c>
      <c r="P25" s="62">
        <v>4065.0459415994542</v>
      </c>
      <c r="Q25" s="62">
        <v>3196.5059298279784</v>
      </c>
      <c r="R25" s="62">
        <v>4020.0618232570187</v>
      </c>
      <c r="S25" s="62">
        <v>4055.8249800000003</v>
      </c>
      <c r="T25" s="62">
        <v>3363.2355157245165</v>
      </c>
      <c r="U25" s="62">
        <v>3316.2835157245167</v>
      </c>
      <c r="V25" s="62">
        <v>3256.2835157245167</v>
      </c>
      <c r="W25" s="62">
        <v>3117.9050157245169</v>
      </c>
      <c r="X25" s="62">
        <v>3212.9050157245169</v>
      </c>
      <c r="Y25" s="62">
        <v>3199.1891000000001</v>
      </c>
      <c r="Z25" s="62">
        <v>2902.0344</v>
      </c>
      <c r="AA25" s="62">
        <v>2795.4302409048955</v>
      </c>
    </row>
    <row r="26" spans="1:27" x14ac:dyDescent="0.2">
      <c r="A26" s="127"/>
      <c r="B26" s="48" t="s">
        <v>65</v>
      </c>
      <c r="C26" s="62">
        <v>0</v>
      </c>
      <c r="D26" s="62">
        <v>0</v>
      </c>
      <c r="E26" s="62">
        <v>0</v>
      </c>
      <c r="F26" s="62">
        <v>0</v>
      </c>
      <c r="G26" s="62">
        <v>3335.1729812358185</v>
      </c>
      <c r="H26" s="62">
        <v>3116.0852657411278</v>
      </c>
      <c r="I26" s="62">
        <v>2918.7128889827131</v>
      </c>
      <c r="J26" s="62">
        <v>3345.4774125627955</v>
      </c>
      <c r="K26" s="62">
        <v>3491.1000666977693</v>
      </c>
      <c r="L26" s="62">
        <v>4006.7239904318144</v>
      </c>
      <c r="M26" s="62">
        <v>3885.3096932976923</v>
      </c>
      <c r="N26" s="62">
        <v>3427.1045244435418</v>
      </c>
      <c r="O26" s="62">
        <v>3550.6593019446373</v>
      </c>
      <c r="P26" s="62">
        <v>3822.9310584005498</v>
      </c>
      <c r="Q26" s="62">
        <v>5631.5713700000097</v>
      </c>
      <c r="R26" s="62">
        <v>4824.6384316062677</v>
      </c>
      <c r="S26" s="62">
        <v>4736.5965899999992</v>
      </c>
      <c r="T26" s="62">
        <v>4185.8776500000013</v>
      </c>
      <c r="U26" s="62">
        <v>4353.2857500000018</v>
      </c>
      <c r="V26" s="62">
        <v>4439.525950000002</v>
      </c>
      <c r="W26" s="62">
        <v>4544.9483500000024</v>
      </c>
      <c r="X26" s="62">
        <v>3972.188070000002</v>
      </c>
      <c r="Y26" s="62">
        <v>4071.5156700000025</v>
      </c>
      <c r="Z26" s="62">
        <v>3668.0646699999843</v>
      </c>
      <c r="AA26" s="62">
        <v>3839.4072899999815</v>
      </c>
    </row>
    <row r="27" spans="1:27" x14ac:dyDescent="0.2">
      <c r="A27" s="127"/>
      <c r="B27" s="48" t="s">
        <v>66</v>
      </c>
      <c r="C27" s="62">
        <v>0</v>
      </c>
      <c r="D27" s="62">
        <v>0</v>
      </c>
      <c r="E27" s="62">
        <v>0</v>
      </c>
      <c r="F27" s="62">
        <v>0</v>
      </c>
      <c r="G27" s="62">
        <v>131</v>
      </c>
      <c r="H27" s="62">
        <v>131</v>
      </c>
      <c r="I27" s="62">
        <v>131</v>
      </c>
      <c r="J27" s="62">
        <v>131</v>
      </c>
      <c r="K27" s="62">
        <v>131</v>
      </c>
      <c r="L27" s="62">
        <v>131</v>
      </c>
      <c r="M27" s="62">
        <v>131</v>
      </c>
      <c r="N27" s="62">
        <v>131</v>
      </c>
      <c r="O27" s="62">
        <v>131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</row>
    <row r="28" spans="1:27" x14ac:dyDescent="0.2">
      <c r="A28" s="127"/>
      <c r="B28" s="48" t="s">
        <v>37</v>
      </c>
      <c r="C28" s="62">
        <v>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35.480665803904088</v>
      </c>
      <c r="S28" s="62">
        <v>40.824779091743174</v>
      </c>
      <c r="T28" s="62">
        <v>41.190681279543675</v>
      </c>
      <c r="U28" s="62">
        <v>39.837681279543681</v>
      </c>
      <c r="V28" s="62">
        <v>27.117681279543675</v>
      </c>
      <c r="W28" s="62">
        <v>27.117681279543675</v>
      </c>
      <c r="X28" s="62">
        <v>27.117681279543675</v>
      </c>
      <c r="Y28" s="62">
        <v>21.467681279543676</v>
      </c>
      <c r="Z28" s="62">
        <v>21.467681279543676</v>
      </c>
      <c r="AA28" s="62">
        <v>51.146674782227542</v>
      </c>
    </row>
    <row r="29" spans="1:27" x14ac:dyDescent="0.2">
      <c r="A29" s="127"/>
      <c r="B29" s="45" t="s">
        <v>81</v>
      </c>
      <c r="C29" s="58">
        <v>0</v>
      </c>
      <c r="D29" s="58">
        <v>0</v>
      </c>
      <c r="E29" s="58">
        <v>0</v>
      </c>
      <c r="F29" s="58">
        <v>0</v>
      </c>
      <c r="G29" s="58">
        <v>622.548</v>
      </c>
      <c r="H29" s="58">
        <v>634.548</v>
      </c>
      <c r="I29" s="58">
        <v>846.96799999999985</v>
      </c>
      <c r="J29" s="58">
        <v>846.88049999999998</v>
      </c>
      <c r="K29" s="58">
        <v>879.01800000000003</v>
      </c>
      <c r="L29" s="58">
        <v>1388.4179999999999</v>
      </c>
      <c r="M29" s="58">
        <v>1396.318</v>
      </c>
      <c r="N29" s="58">
        <v>1410.818</v>
      </c>
      <c r="O29" s="58">
        <v>1336.9979999999998</v>
      </c>
      <c r="P29" s="58">
        <v>1336.9979999999996</v>
      </c>
      <c r="Q29" s="58">
        <v>1346.3527568737491</v>
      </c>
      <c r="R29" s="58">
        <v>1578.1612299375186</v>
      </c>
      <c r="S29" s="58">
        <v>1578.5332209082712</v>
      </c>
      <c r="T29" s="58">
        <v>1606.0044029959392</v>
      </c>
      <c r="U29" s="58">
        <v>1598.734402995939</v>
      </c>
      <c r="V29" s="58">
        <v>1579.2344029959359</v>
      </c>
      <c r="W29" s="58">
        <v>1535.2344029959395</v>
      </c>
      <c r="X29" s="58">
        <v>1529.2344029959395</v>
      </c>
      <c r="Y29" s="58">
        <v>1546.0003187204561</v>
      </c>
      <c r="Z29" s="58">
        <v>1540.0003187204561</v>
      </c>
      <c r="AA29" s="58">
        <v>1621.2715648933824</v>
      </c>
    </row>
    <row r="30" spans="1:27" x14ac:dyDescent="0.2">
      <c r="A30" s="127"/>
      <c r="B30" s="48" t="s">
        <v>67</v>
      </c>
      <c r="C30" s="62">
        <v>0</v>
      </c>
      <c r="D30" s="62">
        <v>0</v>
      </c>
      <c r="E30" s="62">
        <v>0</v>
      </c>
      <c r="F30" s="62">
        <v>0</v>
      </c>
      <c r="G30" s="62">
        <v>17.3</v>
      </c>
      <c r="H30" s="62">
        <v>17.3</v>
      </c>
      <c r="I30" s="62">
        <v>213.82</v>
      </c>
      <c r="J30" s="62">
        <v>212.57</v>
      </c>
      <c r="K30" s="62">
        <v>211.32</v>
      </c>
      <c r="L30" s="62">
        <v>211.32</v>
      </c>
      <c r="M30" s="62">
        <v>211.32</v>
      </c>
      <c r="N30" s="62">
        <v>211.32</v>
      </c>
      <c r="O30" s="62">
        <v>162.1</v>
      </c>
      <c r="P30" s="62">
        <v>162.1</v>
      </c>
      <c r="Q30" s="62">
        <v>160.35507939024438</v>
      </c>
      <c r="R30" s="62">
        <v>175.6969428178808</v>
      </c>
      <c r="S30" s="62">
        <v>172.06893378863344</v>
      </c>
      <c r="T30" s="62">
        <v>172.06893378863344</v>
      </c>
      <c r="U30" s="62">
        <v>66.447563127091598</v>
      </c>
      <c r="V30" s="62">
        <v>66.447563127091598</v>
      </c>
      <c r="W30" s="62">
        <v>66.447563127091598</v>
      </c>
      <c r="X30" s="62">
        <v>66.447563127091598</v>
      </c>
      <c r="Y30" s="62">
        <v>161.37798874433904</v>
      </c>
      <c r="Z30" s="62">
        <v>161.37798874433904</v>
      </c>
      <c r="AA30" s="62">
        <v>86.431065925430616</v>
      </c>
    </row>
    <row r="31" spans="1:27" x14ac:dyDescent="0.2">
      <c r="A31" s="127"/>
      <c r="B31" s="48" t="s">
        <v>68</v>
      </c>
      <c r="C31" s="62">
        <v>0</v>
      </c>
      <c r="D31" s="62">
        <v>0</v>
      </c>
      <c r="E31" s="62">
        <v>0</v>
      </c>
      <c r="F31" s="62">
        <v>0</v>
      </c>
      <c r="G31" s="62">
        <v>31.187999999999999</v>
      </c>
      <c r="H31" s="62">
        <v>43.188000000000002</v>
      </c>
      <c r="I31" s="62">
        <v>54.688000000000002</v>
      </c>
      <c r="J31" s="62">
        <v>55.688000000000002</v>
      </c>
      <c r="K31" s="62">
        <v>56.688000000000002</v>
      </c>
      <c r="L31" s="62">
        <v>56.688000000000002</v>
      </c>
      <c r="M31" s="62">
        <v>56.688000000000002</v>
      </c>
      <c r="N31" s="62">
        <v>59.688000000000002</v>
      </c>
      <c r="O31" s="62">
        <v>59.688000000000002</v>
      </c>
      <c r="P31" s="62">
        <v>59.688000000000002</v>
      </c>
      <c r="Q31" s="62">
        <v>71.188000000000002</v>
      </c>
      <c r="R31" s="62">
        <v>71.188000000000002</v>
      </c>
      <c r="S31" s="62">
        <v>71.188000000000002</v>
      </c>
      <c r="T31" s="62">
        <v>71.188000000000002</v>
      </c>
      <c r="U31" s="62">
        <v>79.207999999999998</v>
      </c>
      <c r="V31" s="62">
        <v>79.207999999999998</v>
      </c>
      <c r="W31" s="62">
        <v>72.207999999999998</v>
      </c>
      <c r="X31" s="62">
        <v>72.207999999999998</v>
      </c>
      <c r="Y31" s="62">
        <v>72.207999999999998</v>
      </c>
      <c r="Z31" s="62">
        <v>72.207999999999998</v>
      </c>
      <c r="AA31" s="62">
        <v>72.207999999999998</v>
      </c>
    </row>
    <row r="32" spans="1:27" x14ac:dyDescent="0.2">
      <c r="A32" s="127"/>
      <c r="B32" s="48" t="s">
        <v>69</v>
      </c>
      <c r="C32" s="62">
        <v>0</v>
      </c>
      <c r="D32" s="62">
        <v>0</v>
      </c>
      <c r="E32" s="62">
        <v>0</v>
      </c>
      <c r="F32" s="62">
        <v>0</v>
      </c>
      <c r="G32" s="62">
        <v>163.44</v>
      </c>
      <c r="H32" s="62">
        <v>163.44</v>
      </c>
      <c r="I32" s="62">
        <v>167.84</v>
      </c>
      <c r="J32" s="62">
        <v>168.0025</v>
      </c>
      <c r="K32" s="62">
        <v>200.39000000000001</v>
      </c>
      <c r="L32" s="62">
        <v>206.78999999999996</v>
      </c>
      <c r="M32" s="62">
        <v>211.69</v>
      </c>
      <c r="N32" s="62">
        <v>211.69</v>
      </c>
      <c r="O32" s="62">
        <v>215.69</v>
      </c>
      <c r="P32" s="62">
        <v>215.68999999999969</v>
      </c>
      <c r="Q32" s="62">
        <v>216.00967748350467</v>
      </c>
      <c r="R32" s="62">
        <v>422.47628711963773</v>
      </c>
      <c r="S32" s="62">
        <v>422.47628711963779</v>
      </c>
      <c r="T32" s="62">
        <v>417.07746920730597</v>
      </c>
      <c r="U32" s="62">
        <v>512.08738613581136</v>
      </c>
      <c r="V32" s="62">
        <v>492.58738613580783</v>
      </c>
      <c r="W32" s="62">
        <v>468.08738613581147</v>
      </c>
      <c r="X32" s="62">
        <v>468.08738613581147</v>
      </c>
      <c r="Y32" s="62">
        <v>385.24432997611729</v>
      </c>
      <c r="Z32" s="62">
        <v>385.24432997611729</v>
      </c>
      <c r="AA32" s="62">
        <v>536.87257643059183</v>
      </c>
    </row>
    <row r="33" spans="1:27" x14ac:dyDescent="0.2">
      <c r="A33" s="127"/>
      <c r="B33" s="48" t="s">
        <v>70</v>
      </c>
      <c r="C33" s="62">
        <v>0</v>
      </c>
      <c r="D33" s="62">
        <v>0</v>
      </c>
      <c r="E33" s="62">
        <v>0</v>
      </c>
      <c r="F33" s="62">
        <v>0</v>
      </c>
      <c r="G33" s="62">
        <v>132.41999999999999</v>
      </c>
      <c r="H33" s="62">
        <v>132.41999999999999</v>
      </c>
      <c r="I33" s="62">
        <v>132.41999999999999</v>
      </c>
      <c r="J33" s="62">
        <v>132.41999999999999</v>
      </c>
      <c r="K33" s="62">
        <v>132.41999999999999</v>
      </c>
      <c r="L33" s="62">
        <v>635.41999999999996</v>
      </c>
      <c r="M33" s="62">
        <v>638.41999999999996</v>
      </c>
      <c r="N33" s="62">
        <v>649.91999999999996</v>
      </c>
      <c r="O33" s="62">
        <v>674.42</v>
      </c>
      <c r="P33" s="62">
        <v>674.42</v>
      </c>
      <c r="Q33" s="62">
        <v>673.7</v>
      </c>
      <c r="R33" s="62">
        <v>653.70000000000005</v>
      </c>
      <c r="S33" s="62">
        <v>657.7</v>
      </c>
      <c r="T33" s="62">
        <v>720.56999999999994</v>
      </c>
      <c r="U33" s="62">
        <v>714.92</v>
      </c>
      <c r="V33" s="62">
        <v>714.92</v>
      </c>
      <c r="W33" s="62">
        <v>702.42</v>
      </c>
      <c r="X33" s="62">
        <v>696.42</v>
      </c>
      <c r="Y33" s="62">
        <v>702.06999999999994</v>
      </c>
      <c r="Z33" s="62">
        <v>696.06999999999994</v>
      </c>
      <c r="AA33" s="62">
        <v>696.06999999999994</v>
      </c>
    </row>
    <row r="34" spans="1:27" ht="13.5" thickBot="1" x14ac:dyDescent="0.25">
      <c r="A34" s="127"/>
      <c r="B34" s="53" t="s">
        <v>71</v>
      </c>
      <c r="C34" s="64">
        <v>0</v>
      </c>
      <c r="D34" s="64">
        <v>0</v>
      </c>
      <c r="E34" s="64">
        <v>0</v>
      </c>
      <c r="F34" s="64">
        <v>0</v>
      </c>
      <c r="G34" s="64">
        <v>278.2</v>
      </c>
      <c r="H34" s="64">
        <v>278.2</v>
      </c>
      <c r="I34" s="64">
        <v>278.2</v>
      </c>
      <c r="J34" s="64">
        <v>278.2</v>
      </c>
      <c r="K34" s="64">
        <v>278.2</v>
      </c>
      <c r="L34" s="64">
        <v>278.2</v>
      </c>
      <c r="M34" s="64">
        <v>278.2</v>
      </c>
      <c r="N34" s="64">
        <v>278.2</v>
      </c>
      <c r="O34" s="64">
        <v>225.1</v>
      </c>
      <c r="P34" s="64">
        <v>225.1</v>
      </c>
      <c r="Q34" s="64">
        <v>225.1</v>
      </c>
      <c r="R34" s="64">
        <v>255.1</v>
      </c>
      <c r="S34" s="64">
        <v>255.1</v>
      </c>
      <c r="T34" s="64">
        <v>225.1</v>
      </c>
      <c r="U34" s="64">
        <v>226.07145373303626</v>
      </c>
      <c r="V34" s="64">
        <v>226.07145373303626</v>
      </c>
      <c r="W34" s="64">
        <v>226.07145373303626</v>
      </c>
      <c r="X34" s="64">
        <v>226.07145373303626</v>
      </c>
      <c r="Y34" s="64">
        <v>225.1</v>
      </c>
      <c r="Z34" s="64">
        <v>225.1</v>
      </c>
      <c r="AA34" s="64">
        <v>229.68992253736025</v>
      </c>
    </row>
    <row r="35" spans="1:27" ht="13.5" thickBot="1" x14ac:dyDescent="0.25">
      <c r="A35" s="128"/>
      <c r="B35" s="51" t="s">
        <v>85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91.5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</row>
    <row r="36" spans="1:27" ht="13.5" thickBot="1" x14ac:dyDescent="0.25">
      <c r="A36" s="118" t="s">
        <v>82</v>
      </c>
      <c r="B36" s="119"/>
      <c r="C36" s="70">
        <v>1966</v>
      </c>
      <c r="D36" s="70">
        <v>2007</v>
      </c>
      <c r="E36" s="70">
        <v>2007</v>
      </c>
      <c r="F36" s="70">
        <v>2007</v>
      </c>
      <c r="G36" s="70">
        <v>2007</v>
      </c>
      <c r="H36" s="70">
        <v>2007</v>
      </c>
      <c r="I36" s="70">
        <v>2007</v>
      </c>
      <c r="J36" s="70">
        <v>2007</v>
      </c>
      <c r="K36" s="70">
        <v>2007</v>
      </c>
      <c r="L36" s="70">
        <v>2007</v>
      </c>
      <c r="M36" s="70">
        <v>2007</v>
      </c>
      <c r="N36" s="70">
        <v>2007</v>
      </c>
      <c r="O36" s="70">
        <v>1990</v>
      </c>
      <c r="P36" s="70">
        <v>1990</v>
      </c>
      <c r="Q36" s="70">
        <v>1990</v>
      </c>
      <c r="R36" s="70">
        <v>1990</v>
      </c>
      <c r="S36" s="70">
        <v>1990</v>
      </c>
      <c r="T36" s="70">
        <v>1990</v>
      </c>
      <c r="U36" s="70">
        <v>1990</v>
      </c>
      <c r="V36" s="70">
        <v>1990</v>
      </c>
      <c r="W36" s="70">
        <v>1990</v>
      </c>
      <c r="X36" s="70">
        <v>1990</v>
      </c>
      <c r="Y36" s="70">
        <v>1990</v>
      </c>
      <c r="Z36" s="70">
        <v>1990</v>
      </c>
      <c r="AA36" s="60">
        <v>1990</v>
      </c>
    </row>
    <row r="37" spans="1:27" ht="13.5" thickBot="1" x14ac:dyDescent="0.25">
      <c r="A37" s="118" t="s">
        <v>36</v>
      </c>
      <c r="B37" s="119"/>
      <c r="C37" s="60">
        <v>74877</v>
      </c>
      <c r="D37" s="60">
        <v>80315.100000000006</v>
      </c>
      <c r="E37" s="60">
        <v>85857</v>
      </c>
      <c r="F37" s="60">
        <v>90679.1</v>
      </c>
      <c r="G37" s="60">
        <v>92865.1</v>
      </c>
      <c r="H37" s="60">
        <v>96294</v>
      </c>
      <c r="I37" s="60">
        <v>100351.99211850006</v>
      </c>
      <c r="J37" s="60">
        <v>102949</v>
      </c>
      <c r="K37" s="60">
        <v>106570.11599999999</v>
      </c>
      <c r="L37" s="60">
        <v>113326.94328924369</v>
      </c>
      <c r="M37" s="60">
        <v>117135.1</v>
      </c>
      <c r="N37" s="60">
        <v>120973</v>
      </c>
      <c r="O37" s="60">
        <v>126743</v>
      </c>
      <c r="P37" s="60">
        <v>133912.83800000002</v>
      </c>
      <c r="Q37" s="60">
        <v>140858.09256797138</v>
      </c>
      <c r="R37" s="60">
        <v>150337.57715999999</v>
      </c>
      <c r="S37" s="60">
        <v>157112.17586000002</v>
      </c>
      <c r="T37" s="60">
        <v>162840.07983999999</v>
      </c>
      <c r="U37" s="60">
        <v>170118.02215</v>
      </c>
      <c r="V37" s="60">
        <v>174736.51290999999</v>
      </c>
      <c r="W37" s="60">
        <v>181609.72795000003</v>
      </c>
      <c r="X37" s="60">
        <v>189126.59353000001</v>
      </c>
      <c r="Y37" s="60">
        <v>199324.57257000275</v>
      </c>
      <c r="Z37" s="60">
        <v>200202.37220000272</v>
      </c>
      <c r="AA37" s="60">
        <v>215938.75339999999</v>
      </c>
    </row>
    <row r="38" spans="1:27" x14ac:dyDescent="0.2">
      <c r="A38" s="34" t="s">
        <v>38</v>
      </c>
      <c r="C38" s="100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spans="1:27" x14ac:dyDescent="0.2">
      <c r="A39" s="34" t="s">
        <v>39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</row>
    <row r="40" spans="1:27" x14ac:dyDescent="0.2">
      <c r="A40" s="34"/>
      <c r="C40" s="101"/>
      <c r="D40" s="101"/>
      <c r="E40" s="101"/>
      <c r="F40" s="101"/>
      <c r="G40" s="101"/>
      <c r="H40" s="102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97"/>
      <c r="AA40" s="97"/>
    </row>
    <row r="41" spans="1:27" x14ac:dyDescent="0.2">
      <c r="A41" s="103"/>
      <c r="B41" s="29"/>
      <c r="C41" s="104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</row>
    <row r="79" spans="1:27" x14ac:dyDescent="0.2">
      <c r="A79" s="103"/>
      <c r="B79" s="29"/>
      <c r="C79" s="104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105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</row>
  </sheetData>
  <mergeCells count="8">
    <mergeCell ref="A36:B36"/>
    <mergeCell ref="A37:B37"/>
    <mergeCell ref="A4:B4"/>
    <mergeCell ref="A5:B5"/>
    <mergeCell ref="A6:B6"/>
    <mergeCell ref="A7:B7"/>
    <mergeCell ref="A8:B8"/>
    <mergeCell ref="A9:A35"/>
  </mergeCells>
  <phoneticPr fontId="13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29EB-9B17-456B-8EC2-FC46431AD9AB}">
  <dimension ref="A1:AA35"/>
  <sheetViews>
    <sheetView showGridLines="0" workbookViewId="0"/>
  </sheetViews>
  <sheetFormatPr defaultRowHeight="12.75" x14ac:dyDescent="0.2"/>
  <cols>
    <col min="1" max="1" width="43.7109375" style="54" customWidth="1"/>
    <col min="2" max="2" width="46" style="54" bestFit="1" customWidth="1"/>
    <col min="3" max="16384" width="9.140625" style="54"/>
  </cols>
  <sheetData>
    <row r="1" spans="1:27" ht="15" x14ac:dyDescent="0.2">
      <c r="A1" s="95" t="s">
        <v>106</v>
      </c>
      <c r="B1" s="33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06"/>
      <c r="V1" s="97"/>
      <c r="W1" s="97"/>
      <c r="X1" s="97"/>
      <c r="Y1" s="97"/>
      <c r="Z1" s="97"/>
      <c r="AA1" s="97"/>
    </row>
    <row r="2" spans="1:27" ht="15.75" thickBot="1" x14ac:dyDescent="0.25">
      <c r="A2" s="89" t="s">
        <v>107</v>
      </c>
      <c r="B2" s="33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106"/>
      <c r="V2" s="97"/>
      <c r="W2" s="97"/>
      <c r="X2" s="97"/>
      <c r="Y2" s="97"/>
      <c r="Z2" s="97"/>
      <c r="AA2" s="99" t="s">
        <v>0</v>
      </c>
    </row>
    <row r="3" spans="1:27" ht="13.5" thickBot="1" x14ac:dyDescent="0.25">
      <c r="A3" s="42" t="s">
        <v>40</v>
      </c>
      <c r="B3" s="43"/>
      <c r="C3" s="44">
        <v>2001</v>
      </c>
      <c r="D3" s="44">
        <v>2002</v>
      </c>
      <c r="E3" s="44">
        <v>2003</v>
      </c>
      <c r="F3" s="44">
        <v>2004</v>
      </c>
      <c r="G3" s="44">
        <v>2005</v>
      </c>
      <c r="H3" s="44">
        <v>2006</v>
      </c>
      <c r="I3" s="44">
        <v>2007</v>
      </c>
      <c r="J3" s="44">
        <v>2008</v>
      </c>
      <c r="K3" s="44">
        <v>2009</v>
      </c>
      <c r="L3" s="44">
        <v>2010</v>
      </c>
      <c r="M3" s="44">
        <v>2011</v>
      </c>
      <c r="N3" s="44">
        <v>2012</v>
      </c>
      <c r="O3" s="44">
        <v>2013</v>
      </c>
      <c r="P3" s="44">
        <v>2014</v>
      </c>
      <c r="Q3" s="44">
        <v>2015</v>
      </c>
      <c r="R3" s="44" t="s">
        <v>133</v>
      </c>
      <c r="S3" s="44" t="s">
        <v>134</v>
      </c>
      <c r="T3" s="44" t="s">
        <v>135</v>
      </c>
      <c r="U3" s="44" t="s">
        <v>126</v>
      </c>
      <c r="V3" s="44" t="s">
        <v>127</v>
      </c>
      <c r="W3" s="44" t="s">
        <v>128</v>
      </c>
      <c r="X3" s="44" t="s">
        <v>129</v>
      </c>
      <c r="Y3" s="44" t="s">
        <v>130</v>
      </c>
      <c r="Z3" s="44" t="s">
        <v>131</v>
      </c>
      <c r="AA3" s="44" t="s">
        <v>132</v>
      </c>
    </row>
    <row r="4" spans="1:27" x14ac:dyDescent="0.2">
      <c r="A4" s="131" t="s">
        <v>73</v>
      </c>
      <c r="B4" s="132"/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7">
        <v>0</v>
      </c>
      <c r="X4" s="57">
        <v>0</v>
      </c>
      <c r="Y4" s="57">
        <v>0</v>
      </c>
      <c r="Z4" s="57">
        <v>0</v>
      </c>
      <c r="AA4" s="57">
        <v>0</v>
      </c>
    </row>
    <row r="5" spans="1:27" x14ac:dyDescent="0.2">
      <c r="A5" s="122" t="s">
        <v>74</v>
      </c>
      <c r="B5" s="123"/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>
        <v>0</v>
      </c>
      <c r="AA5" s="58">
        <v>0</v>
      </c>
    </row>
    <row r="6" spans="1:27" ht="13.5" thickBot="1" x14ac:dyDescent="0.25">
      <c r="A6" s="124" t="s">
        <v>75</v>
      </c>
      <c r="B6" s="125"/>
      <c r="C6" s="59">
        <v>0</v>
      </c>
      <c r="D6" s="59">
        <v>0</v>
      </c>
      <c r="E6" s="59">
        <v>0</v>
      </c>
      <c r="F6" s="59">
        <v>0</v>
      </c>
      <c r="G6" s="59">
        <v>0</v>
      </c>
      <c r="H6" s="59">
        <v>0</v>
      </c>
      <c r="I6" s="59">
        <v>0</v>
      </c>
      <c r="J6" s="59">
        <v>0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9">
        <v>0.82869999999999999</v>
      </c>
      <c r="R6" s="59">
        <v>4.407</v>
      </c>
      <c r="S6" s="59">
        <v>37.290700000000001</v>
      </c>
      <c r="T6" s="59">
        <v>58.914079999999998</v>
      </c>
      <c r="U6" s="59">
        <v>96.681799999999996</v>
      </c>
      <c r="V6" s="59">
        <v>22.914640000000006</v>
      </c>
      <c r="W6" s="59">
        <v>63.131069999999987</v>
      </c>
      <c r="X6" s="59">
        <v>85.919069999999991</v>
      </c>
      <c r="Y6" s="59">
        <v>64.983169999999987</v>
      </c>
      <c r="Z6" s="59">
        <v>57.921969999999988</v>
      </c>
      <c r="AA6" s="59">
        <v>73.700670000000002</v>
      </c>
    </row>
    <row r="7" spans="1:27" ht="13.5" thickBot="1" x14ac:dyDescent="0.25">
      <c r="A7" s="118" t="s">
        <v>77</v>
      </c>
      <c r="B7" s="119"/>
      <c r="C7" s="60">
        <v>0</v>
      </c>
      <c r="D7" s="60">
        <v>0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0</v>
      </c>
      <c r="M7" s="60">
        <v>0</v>
      </c>
      <c r="N7" s="60">
        <v>0</v>
      </c>
      <c r="O7" s="60">
        <v>0</v>
      </c>
      <c r="P7" s="60">
        <v>0</v>
      </c>
      <c r="Q7" s="60">
        <v>0.12437000000000001</v>
      </c>
      <c r="R7" s="60">
        <v>0.16639999999999999</v>
      </c>
      <c r="S7" s="60">
        <v>10.284599999999999</v>
      </c>
      <c r="T7" s="60">
        <v>10.314399999999999</v>
      </c>
      <c r="U7" s="60">
        <v>10.360860000000001</v>
      </c>
      <c r="V7" s="60">
        <v>14.965350000000001</v>
      </c>
      <c r="W7" s="60">
        <v>15.037950000000002</v>
      </c>
      <c r="X7" s="60">
        <v>17.214549999999996</v>
      </c>
      <c r="Y7" s="60">
        <v>17.357649999999996</v>
      </c>
      <c r="Z7" s="60">
        <v>17.360479999999992</v>
      </c>
      <c r="AA7" s="60">
        <v>17.585109999999997</v>
      </c>
    </row>
    <row r="8" spans="1:27" ht="13.5" thickBot="1" x14ac:dyDescent="0.25">
      <c r="A8" s="118" t="s">
        <v>78</v>
      </c>
      <c r="B8" s="119"/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13.282409999999999</v>
      </c>
      <c r="R8" s="60">
        <v>56.892659999999985</v>
      </c>
      <c r="S8" s="60">
        <v>174.54047</v>
      </c>
      <c r="T8" s="60">
        <v>562.31504999999947</v>
      </c>
      <c r="U8" s="60">
        <v>1992.0511699999988</v>
      </c>
      <c r="V8" s="60">
        <v>4635.1051200000002</v>
      </c>
      <c r="W8" s="60">
        <v>8771.3201800000006</v>
      </c>
      <c r="X8" s="60">
        <v>17065.744490000001</v>
      </c>
      <c r="Y8" s="60">
        <v>26366.05459</v>
      </c>
      <c r="Z8" s="60">
        <v>35892.134420000002</v>
      </c>
      <c r="AA8" s="60">
        <v>44741.796410000003</v>
      </c>
    </row>
    <row r="9" spans="1:27" s="56" customFormat="1" x14ac:dyDescent="0.2">
      <c r="A9" s="126" t="s">
        <v>83</v>
      </c>
      <c r="B9" s="50" t="s">
        <v>36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2.2744999999999997</v>
      </c>
      <c r="R9" s="61">
        <v>10.96692</v>
      </c>
      <c r="S9" s="61">
        <v>23.998860000000001</v>
      </c>
      <c r="T9" s="61">
        <v>38.051319999999997</v>
      </c>
      <c r="U9" s="61">
        <v>63.023039999999973</v>
      </c>
      <c r="V9" s="61">
        <v>95.271420000000006</v>
      </c>
      <c r="W9" s="61">
        <v>115.27765000000002</v>
      </c>
      <c r="X9" s="61">
        <v>155.77179999999996</v>
      </c>
      <c r="Y9" s="61">
        <v>178.86686000000003</v>
      </c>
      <c r="Z9" s="61">
        <v>200.38152000000011</v>
      </c>
      <c r="AA9" s="61">
        <v>206.94639000000001</v>
      </c>
    </row>
    <row r="10" spans="1:27" s="56" customFormat="1" x14ac:dyDescent="0.2">
      <c r="A10" s="127"/>
      <c r="B10" s="45" t="s">
        <v>52</v>
      </c>
      <c r="C10" s="58">
        <v>0</v>
      </c>
      <c r="D10" s="58">
        <v>0</v>
      </c>
      <c r="E10" s="58">
        <v>0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2.2744999999999997</v>
      </c>
      <c r="R10" s="58">
        <v>10.96692</v>
      </c>
      <c r="S10" s="58">
        <v>20.371180000000003</v>
      </c>
      <c r="T10" s="58">
        <v>34.129639999999995</v>
      </c>
      <c r="U10" s="58">
        <v>57.591359999999973</v>
      </c>
      <c r="V10" s="58">
        <v>89.639740000000003</v>
      </c>
      <c r="W10" s="58">
        <v>109.34597000000002</v>
      </c>
      <c r="X10" s="58">
        <v>152.65003999999996</v>
      </c>
      <c r="Y10" s="58">
        <v>175.58654000000004</v>
      </c>
      <c r="Z10" s="58">
        <v>197.1145800000001</v>
      </c>
      <c r="AA10" s="58">
        <v>204.27939000000001</v>
      </c>
    </row>
    <row r="11" spans="1:27" x14ac:dyDescent="0.2">
      <c r="A11" s="127"/>
      <c r="B11" s="46" t="s">
        <v>53</v>
      </c>
      <c r="C11" s="62">
        <v>0</v>
      </c>
      <c r="D11" s="62">
        <v>0</v>
      </c>
      <c r="E11" s="62">
        <v>0</v>
      </c>
      <c r="F11" s="62">
        <v>0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0.20500000000000002</v>
      </c>
      <c r="U11" s="62">
        <v>0.41099999999999998</v>
      </c>
      <c r="V11" s="62">
        <v>4.6519600000000008</v>
      </c>
      <c r="W11" s="62">
        <v>8.2269600000000001</v>
      </c>
      <c r="X11" s="62">
        <v>8.4300599999999992</v>
      </c>
      <c r="Y11" s="62">
        <v>10.30137</v>
      </c>
      <c r="Z11" s="62">
        <v>14.672940000000001</v>
      </c>
      <c r="AA11" s="62">
        <v>14.673119999999999</v>
      </c>
    </row>
    <row r="12" spans="1:27" s="56" customFormat="1" x14ac:dyDescent="0.2">
      <c r="A12" s="127"/>
      <c r="B12" s="47" t="s">
        <v>54</v>
      </c>
      <c r="C12" s="58">
        <v>0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2.2744999999999997</v>
      </c>
      <c r="R12" s="58">
        <v>10.96692</v>
      </c>
      <c r="S12" s="58">
        <v>20.371180000000003</v>
      </c>
      <c r="T12" s="58">
        <v>33.924639999999997</v>
      </c>
      <c r="U12" s="58">
        <v>57.180359999999972</v>
      </c>
      <c r="V12" s="58">
        <v>84.987780000000001</v>
      </c>
      <c r="W12" s="58">
        <v>101.11901000000002</v>
      </c>
      <c r="X12" s="58">
        <v>144.21997999999996</v>
      </c>
      <c r="Y12" s="58">
        <v>165.28517000000005</v>
      </c>
      <c r="Z12" s="58">
        <v>182.44164000000009</v>
      </c>
      <c r="AA12" s="58">
        <v>189.60626999999999</v>
      </c>
    </row>
    <row r="13" spans="1:27" x14ac:dyDescent="0.2">
      <c r="A13" s="127"/>
      <c r="B13" s="48" t="s">
        <v>55</v>
      </c>
      <c r="C13" s="62">
        <v>0</v>
      </c>
      <c r="D13" s="62">
        <v>0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1.2745</v>
      </c>
      <c r="R13" s="62">
        <v>3.46692</v>
      </c>
      <c r="S13" s="62">
        <v>8.4611800000000006</v>
      </c>
      <c r="T13" s="62">
        <v>15.829639999999994</v>
      </c>
      <c r="U13" s="62">
        <v>36.809359999999977</v>
      </c>
      <c r="V13" s="62">
        <v>62.104080000000003</v>
      </c>
      <c r="W13" s="62">
        <v>75.505810000000011</v>
      </c>
      <c r="X13" s="62">
        <v>104.85757999999998</v>
      </c>
      <c r="Y13" s="62">
        <v>129.10272000000006</v>
      </c>
      <c r="Z13" s="62">
        <v>144.21269000000009</v>
      </c>
      <c r="AA13" s="62">
        <v>154.36507</v>
      </c>
    </row>
    <row r="14" spans="1:27" x14ac:dyDescent="0.2">
      <c r="A14" s="127"/>
      <c r="B14" s="48" t="s">
        <v>56</v>
      </c>
      <c r="C14" s="62">
        <v>0</v>
      </c>
      <c r="D14" s="62">
        <v>0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</row>
    <row r="15" spans="1:27" x14ac:dyDescent="0.2">
      <c r="A15" s="127"/>
      <c r="B15" s="48" t="s">
        <v>57</v>
      </c>
      <c r="C15" s="62">
        <v>0</v>
      </c>
      <c r="D15" s="62">
        <v>0</v>
      </c>
      <c r="E15" s="62">
        <v>0</v>
      </c>
      <c r="F15" s="62">
        <v>0</v>
      </c>
      <c r="G15" s="62">
        <v>0</v>
      </c>
      <c r="H15" s="62">
        <v>0</v>
      </c>
      <c r="I15" s="62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62">
        <v>0</v>
      </c>
      <c r="W15" s="62">
        <v>0</v>
      </c>
      <c r="X15" s="62">
        <v>0</v>
      </c>
      <c r="Y15" s="62">
        <v>0</v>
      </c>
      <c r="Z15" s="62">
        <v>0</v>
      </c>
      <c r="AA15" s="62">
        <v>0</v>
      </c>
    </row>
    <row r="16" spans="1:27" x14ac:dyDescent="0.2">
      <c r="A16" s="127"/>
      <c r="B16" s="48" t="s">
        <v>58</v>
      </c>
      <c r="C16" s="62">
        <v>0</v>
      </c>
      <c r="D16" s="62">
        <v>0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1</v>
      </c>
      <c r="R16" s="62">
        <v>1</v>
      </c>
      <c r="S16" s="62">
        <v>3.7</v>
      </c>
      <c r="T16" s="62">
        <v>4.9000000000000004</v>
      </c>
      <c r="U16" s="62">
        <v>4.9000000000000004</v>
      </c>
      <c r="V16" s="62">
        <v>4.4705000000000004</v>
      </c>
      <c r="W16" s="62">
        <v>6.4</v>
      </c>
      <c r="X16" s="62">
        <v>11.246400000000001</v>
      </c>
      <c r="Y16" s="62">
        <v>11.656400000000001</v>
      </c>
      <c r="Z16" s="62">
        <v>11.726900000000001</v>
      </c>
      <c r="AA16" s="62">
        <v>11.656400000000001</v>
      </c>
    </row>
    <row r="17" spans="1:27" x14ac:dyDescent="0.2">
      <c r="A17" s="127"/>
      <c r="B17" s="48" t="s">
        <v>59</v>
      </c>
      <c r="C17" s="62">
        <v>0</v>
      </c>
      <c r="D17" s="62">
        <v>0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5</v>
      </c>
      <c r="S17" s="62">
        <v>5</v>
      </c>
      <c r="T17" s="62">
        <v>5.085</v>
      </c>
      <c r="U17" s="62">
        <v>5.3609999999999998</v>
      </c>
      <c r="V17" s="62">
        <v>6.3599999999999994</v>
      </c>
      <c r="W17" s="62">
        <v>7.16</v>
      </c>
      <c r="X17" s="62">
        <v>12.88</v>
      </c>
      <c r="Y17" s="62">
        <v>12.869249999999999</v>
      </c>
      <c r="Z17" s="62">
        <v>14.569249999999998</v>
      </c>
      <c r="AA17" s="62">
        <v>12.869250000000001</v>
      </c>
    </row>
    <row r="18" spans="1:27" x14ac:dyDescent="0.2">
      <c r="A18" s="127"/>
      <c r="B18" s="52" t="s">
        <v>79</v>
      </c>
      <c r="C18" s="62">
        <v>0</v>
      </c>
      <c r="D18" s="62">
        <v>0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62">
        <v>6.720000000000001E-2</v>
      </c>
      <c r="W18" s="62">
        <v>6.720000000000001E-2</v>
      </c>
      <c r="X18" s="62">
        <v>0</v>
      </c>
      <c r="Y18" s="62">
        <v>0</v>
      </c>
      <c r="Z18" s="62">
        <v>0</v>
      </c>
      <c r="AA18" s="62">
        <v>0</v>
      </c>
    </row>
    <row r="19" spans="1:27" x14ac:dyDescent="0.2">
      <c r="A19" s="127"/>
      <c r="B19" s="48" t="s">
        <v>60</v>
      </c>
      <c r="C19" s="6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v>0</v>
      </c>
      <c r="X19" s="62">
        <v>0</v>
      </c>
      <c r="Y19" s="62">
        <v>0</v>
      </c>
      <c r="Z19" s="62">
        <v>0</v>
      </c>
      <c r="AA19" s="62">
        <v>0</v>
      </c>
    </row>
    <row r="20" spans="1:27" x14ac:dyDescent="0.2">
      <c r="A20" s="127"/>
      <c r="B20" s="48" t="s">
        <v>41</v>
      </c>
      <c r="C20" s="62">
        <v>0</v>
      </c>
      <c r="D20" s="62">
        <v>0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1.5</v>
      </c>
      <c r="S20" s="62">
        <v>3.21</v>
      </c>
      <c r="T20" s="62">
        <v>8.11</v>
      </c>
      <c r="U20" s="62">
        <v>10.11</v>
      </c>
      <c r="V20" s="62">
        <v>11.985999999999999</v>
      </c>
      <c r="W20" s="62">
        <v>11.985999999999999</v>
      </c>
      <c r="X20" s="62">
        <v>15.235999999999999</v>
      </c>
      <c r="Y20" s="62">
        <v>11.656799999999999</v>
      </c>
      <c r="Z20" s="62">
        <v>11.932799999999999</v>
      </c>
      <c r="AA20" s="62">
        <v>10.71555</v>
      </c>
    </row>
    <row r="21" spans="1:27" s="56" customFormat="1" x14ac:dyDescent="0.2">
      <c r="A21" s="127"/>
      <c r="B21" s="45" t="s">
        <v>80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3.6276799999999998</v>
      </c>
      <c r="T21" s="63">
        <v>3.9216799999999998</v>
      </c>
      <c r="U21" s="63">
        <v>5.4316799999999992</v>
      </c>
      <c r="V21" s="63">
        <v>5.6316799999999994</v>
      </c>
      <c r="W21" s="63">
        <v>5.9316799999999992</v>
      </c>
      <c r="X21" s="63">
        <v>3.1217599999999996</v>
      </c>
      <c r="Y21" s="63">
        <v>3.2803199999999997</v>
      </c>
      <c r="Z21" s="63">
        <v>3.2669399999999995</v>
      </c>
      <c r="AA21" s="63">
        <v>2.6669999999999998</v>
      </c>
    </row>
    <row r="22" spans="1:27" x14ac:dyDescent="0.2">
      <c r="A22" s="127"/>
      <c r="B22" s="48" t="s">
        <v>61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</row>
    <row r="23" spans="1:27" x14ac:dyDescent="0.2">
      <c r="A23" s="127"/>
      <c r="B23" s="48" t="s">
        <v>62</v>
      </c>
      <c r="C23" s="62">
        <v>0</v>
      </c>
      <c r="D23" s="62">
        <v>0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62">
        <v>0</v>
      </c>
      <c r="W23" s="62">
        <v>0</v>
      </c>
      <c r="X23" s="62">
        <v>0</v>
      </c>
      <c r="Y23" s="62">
        <v>0</v>
      </c>
      <c r="Z23" s="62">
        <v>0</v>
      </c>
      <c r="AA23" s="62">
        <v>0</v>
      </c>
    </row>
    <row r="24" spans="1:27" x14ac:dyDescent="0.2">
      <c r="A24" s="127"/>
      <c r="B24" s="48" t="s">
        <v>63</v>
      </c>
      <c r="C24" s="62">
        <v>0</v>
      </c>
      <c r="D24" s="62">
        <v>0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3.6276799999999998</v>
      </c>
      <c r="T24" s="62">
        <v>3.9216799999999998</v>
      </c>
      <c r="U24" s="62">
        <v>5.4316799999999992</v>
      </c>
      <c r="V24" s="62">
        <v>5.6316799999999994</v>
      </c>
      <c r="W24" s="62">
        <v>5.9316799999999992</v>
      </c>
      <c r="X24" s="62">
        <v>3.1217599999999996</v>
      </c>
      <c r="Y24" s="62">
        <v>3.1153199999999996</v>
      </c>
      <c r="Z24" s="62">
        <v>3.1019399999999995</v>
      </c>
      <c r="AA24" s="62">
        <v>2.5019999999999998</v>
      </c>
    </row>
    <row r="25" spans="1:27" x14ac:dyDescent="0.2">
      <c r="A25" s="127"/>
      <c r="B25" s="48" t="s">
        <v>64</v>
      </c>
      <c r="C25" s="62">
        <v>0</v>
      </c>
      <c r="D25" s="62">
        <v>0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</row>
    <row r="26" spans="1:27" x14ac:dyDescent="0.2">
      <c r="A26" s="127"/>
      <c r="B26" s="48" t="s">
        <v>65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0.16500000000000001</v>
      </c>
      <c r="Z26" s="62">
        <v>0.16500000000000001</v>
      </c>
      <c r="AA26" s="62">
        <v>0.16500000000000001</v>
      </c>
    </row>
    <row r="27" spans="1:27" x14ac:dyDescent="0.2">
      <c r="A27" s="127"/>
      <c r="B27" s="48" t="s">
        <v>66</v>
      </c>
      <c r="C27" s="62">
        <v>0</v>
      </c>
      <c r="D27" s="62">
        <v>0</v>
      </c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62"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</row>
    <row r="28" spans="1:27" x14ac:dyDescent="0.2">
      <c r="A28" s="127"/>
      <c r="B28" s="48" t="s">
        <v>84</v>
      </c>
      <c r="C28" s="62">
        <v>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</row>
    <row r="29" spans="1:27" s="56" customFormat="1" x14ac:dyDescent="0.2">
      <c r="A29" s="127"/>
      <c r="B29" s="49" t="s">
        <v>42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63">
        <v>0</v>
      </c>
    </row>
    <row r="30" spans="1:27" x14ac:dyDescent="0.2">
      <c r="A30" s="127"/>
      <c r="B30" s="48" t="s">
        <v>68</v>
      </c>
      <c r="C30" s="62">
        <v>0</v>
      </c>
      <c r="D30" s="62">
        <v>0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62">
        <v>0</v>
      </c>
      <c r="L30" s="62">
        <v>0</v>
      </c>
      <c r="M30" s="62">
        <v>0</v>
      </c>
      <c r="N30" s="62">
        <v>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>
        <v>0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</row>
    <row r="31" spans="1:27" x14ac:dyDescent="0.2">
      <c r="A31" s="127"/>
      <c r="B31" s="48" t="s">
        <v>69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</row>
    <row r="32" spans="1:27" x14ac:dyDescent="0.2">
      <c r="A32" s="127"/>
      <c r="B32" s="48" t="s">
        <v>70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0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</row>
    <row r="33" spans="1:27" ht="13.5" thickBot="1" x14ac:dyDescent="0.25">
      <c r="A33" s="127"/>
      <c r="B33" s="53" t="s">
        <v>71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</row>
    <row r="34" spans="1:27" s="56" customFormat="1" ht="13.5" thickBot="1" x14ac:dyDescent="0.25">
      <c r="A34" s="127"/>
      <c r="B34" s="55" t="s">
        <v>85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</row>
    <row r="35" spans="1:27" s="56" customFormat="1" ht="13.5" thickBot="1" x14ac:dyDescent="0.25">
      <c r="A35" s="129" t="s">
        <v>36</v>
      </c>
      <c r="B35" s="130"/>
      <c r="C35" s="60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6">
        <v>0</v>
      </c>
      <c r="P35" s="66">
        <v>0</v>
      </c>
      <c r="Q35" s="66">
        <v>16.509979999999999</v>
      </c>
      <c r="R35" s="66">
        <v>72.432979999999986</v>
      </c>
      <c r="S35" s="66">
        <v>246.11463000000001</v>
      </c>
      <c r="T35" s="66">
        <v>669.5948499999995</v>
      </c>
      <c r="U35" s="66">
        <v>2162.1168699999989</v>
      </c>
      <c r="V35" s="66">
        <v>4768.2565300000006</v>
      </c>
      <c r="W35" s="66">
        <v>8964.76685</v>
      </c>
      <c r="X35" s="66">
        <v>17324.64991</v>
      </c>
      <c r="Y35" s="66">
        <v>26627.262269999999</v>
      </c>
      <c r="Z35" s="66">
        <v>36167.798390000004</v>
      </c>
      <c r="AA35" s="66">
        <v>45040.028580000006</v>
      </c>
    </row>
  </sheetData>
  <mergeCells count="7">
    <mergeCell ref="A35:B35"/>
    <mergeCell ref="A8:B8"/>
    <mergeCell ref="A4:B4"/>
    <mergeCell ref="A5:B5"/>
    <mergeCell ref="A6:B6"/>
    <mergeCell ref="A7:B7"/>
    <mergeCell ref="A9:A3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55FA-04A6-42BB-862A-B676A19FAA56}">
  <dimension ref="A1:R64"/>
  <sheetViews>
    <sheetView showGridLines="0" workbookViewId="0">
      <selection activeCell="A4" sqref="A4:B55"/>
    </sheetView>
  </sheetViews>
  <sheetFormatPr defaultRowHeight="12.75" x14ac:dyDescent="0.2"/>
  <cols>
    <col min="1" max="2" width="20.42578125" style="88" customWidth="1"/>
    <col min="3" max="5" width="9.140625" style="88"/>
    <col min="6" max="6" width="11.140625" style="88" bestFit="1" customWidth="1"/>
    <col min="7" max="7" width="10.28515625" style="88" bestFit="1" customWidth="1"/>
    <col min="8" max="16384" width="9.140625" style="88"/>
  </cols>
  <sheetData>
    <row r="1" spans="1:18" ht="15" x14ac:dyDescent="0.2">
      <c r="A1" s="95" t="s">
        <v>108</v>
      </c>
    </row>
    <row r="2" spans="1:18" ht="15.75" thickBot="1" x14ac:dyDescent="0.25">
      <c r="A2" s="89" t="s">
        <v>109</v>
      </c>
      <c r="B2" s="9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96"/>
      <c r="R2" s="91"/>
    </row>
    <row r="3" spans="1:18" ht="13.5" thickBot="1" x14ac:dyDescent="0.25">
      <c r="A3" s="74" t="s">
        <v>34</v>
      </c>
      <c r="B3" s="75" t="s">
        <v>91</v>
      </c>
    </row>
    <row r="4" spans="1:18" x14ac:dyDescent="0.2">
      <c r="A4" s="36">
        <v>1974</v>
      </c>
      <c r="B4" s="76">
        <v>164200</v>
      </c>
      <c r="C4" s="81"/>
      <c r="E4" s="36"/>
      <c r="F4" s="81"/>
    </row>
    <row r="5" spans="1:18" x14ac:dyDescent="0.2">
      <c r="A5" s="36">
        <v>1975</v>
      </c>
      <c r="B5" s="76">
        <v>166700</v>
      </c>
      <c r="C5" s="28"/>
      <c r="D5" s="35"/>
      <c r="E5" s="28"/>
      <c r="F5" s="28"/>
    </row>
    <row r="6" spans="1:18" x14ac:dyDescent="0.2">
      <c r="A6" s="36">
        <v>1976</v>
      </c>
      <c r="B6" s="76">
        <v>165700</v>
      </c>
      <c r="C6" s="28"/>
      <c r="D6" s="35"/>
      <c r="E6" s="28"/>
      <c r="F6" s="28"/>
    </row>
    <row r="7" spans="1:18" x14ac:dyDescent="0.2">
      <c r="A7" s="36">
        <v>1977</v>
      </c>
      <c r="B7" s="76">
        <v>185800</v>
      </c>
      <c r="C7" s="28"/>
      <c r="D7" s="35"/>
      <c r="E7" s="28"/>
      <c r="F7" s="28"/>
    </row>
    <row r="8" spans="1:18" x14ac:dyDescent="0.2">
      <c r="A8" s="36">
        <v>1978</v>
      </c>
      <c r="B8" s="76">
        <v>201100</v>
      </c>
      <c r="C8" s="28"/>
      <c r="D8" s="35"/>
      <c r="E8" s="28"/>
      <c r="F8" s="28"/>
    </row>
    <row r="9" spans="1:18" x14ac:dyDescent="0.2">
      <c r="A9" s="36">
        <v>1979</v>
      </c>
      <c r="B9" s="76">
        <v>201100</v>
      </c>
      <c r="C9" s="28"/>
      <c r="D9" s="35"/>
      <c r="E9" s="28"/>
      <c r="F9" s="28"/>
    </row>
    <row r="10" spans="1:18" x14ac:dyDescent="0.2">
      <c r="A10" s="36">
        <v>1980</v>
      </c>
      <c r="B10" s="76">
        <v>233100</v>
      </c>
      <c r="C10" s="28"/>
      <c r="D10" s="35"/>
      <c r="E10" s="28"/>
      <c r="F10" s="28"/>
    </row>
    <row r="11" spans="1:18" x14ac:dyDescent="0.2">
      <c r="A11" s="36">
        <v>1981</v>
      </c>
      <c r="B11" s="76">
        <v>233300</v>
      </c>
      <c r="C11" s="28"/>
      <c r="D11" s="35"/>
      <c r="E11" s="28"/>
      <c r="F11" s="28"/>
    </row>
    <row r="12" spans="1:18" x14ac:dyDescent="0.2">
      <c r="A12" s="36">
        <v>1982</v>
      </c>
      <c r="B12" s="76">
        <v>238200</v>
      </c>
      <c r="C12" s="28"/>
      <c r="D12" s="35"/>
      <c r="E12" s="28"/>
      <c r="F12" s="28"/>
    </row>
    <row r="13" spans="1:18" x14ac:dyDescent="0.2">
      <c r="A13" s="36">
        <v>1983</v>
      </c>
      <c r="B13" s="76">
        <v>240100</v>
      </c>
      <c r="C13" s="28"/>
      <c r="D13" s="35"/>
      <c r="E13" s="28"/>
      <c r="F13" s="28"/>
    </row>
    <row r="14" spans="1:18" x14ac:dyDescent="0.2">
      <c r="A14" s="36">
        <v>1984</v>
      </c>
      <c r="B14" s="76">
        <v>240100</v>
      </c>
      <c r="C14" s="28"/>
      <c r="D14" s="35"/>
      <c r="E14" s="28"/>
      <c r="F14" s="28"/>
    </row>
    <row r="15" spans="1:18" x14ac:dyDescent="0.2">
      <c r="A15" s="36">
        <v>1985</v>
      </c>
      <c r="B15" s="76">
        <v>240100</v>
      </c>
      <c r="C15" s="28"/>
      <c r="D15" s="35"/>
      <c r="E15" s="28"/>
      <c r="F15" s="28"/>
    </row>
    <row r="16" spans="1:18" x14ac:dyDescent="0.2">
      <c r="A16" s="36">
        <v>1986</v>
      </c>
      <c r="B16" s="76">
        <v>240100</v>
      </c>
      <c r="D16" s="35"/>
      <c r="E16" s="36"/>
    </row>
    <row r="17" spans="1:6" x14ac:dyDescent="0.2">
      <c r="A17" s="36">
        <v>1987</v>
      </c>
      <c r="B17" s="76">
        <v>240100</v>
      </c>
      <c r="C17" s="36"/>
      <c r="D17" s="36"/>
      <c r="E17" s="36"/>
      <c r="F17" s="36"/>
    </row>
    <row r="18" spans="1:6" x14ac:dyDescent="0.2">
      <c r="A18" s="36">
        <v>1988</v>
      </c>
      <c r="B18" s="76">
        <v>234890</v>
      </c>
      <c r="C18" s="81"/>
      <c r="E18" s="36"/>
      <c r="F18" s="81"/>
    </row>
    <row r="19" spans="1:6" x14ac:dyDescent="0.2">
      <c r="A19" s="36">
        <v>1989</v>
      </c>
      <c r="B19" s="76">
        <v>241040</v>
      </c>
      <c r="C19" s="28"/>
      <c r="D19" s="35"/>
      <c r="E19" s="28"/>
      <c r="F19" s="28"/>
    </row>
    <row r="20" spans="1:6" x14ac:dyDescent="0.2">
      <c r="A20" s="36">
        <v>1990</v>
      </c>
      <c r="B20" s="76">
        <v>241040</v>
      </c>
      <c r="C20" s="28"/>
      <c r="D20" s="35"/>
      <c r="E20" s="28"/>
      <c r="F20" s="28"/>
    </row>
    <row r="21" spans="1:6" x14ac:dyDescent="0.2">
      <c r="A21" s="36">
        <v>1991</v>
      </c>
      <c r="B21" s="76">
        <v>241750</v>
      </c>
      <c r="C21" s="28"/>
      <c r="D21" s="35"/>
      <c r="E21" s="28"/>
      <c r="F21" s="28"/>
    </row>
    <row r="22" spans="1:6" x14ac:dyDescent="0.2">
      <c r="A22" s="36">
        <v>1992</v>
      </c>
      <c r="B22" s="76">
        <v>241680</v>
      </c>
      <c r="C22" s="28"/>
      <c r="D22" s="35"/>
      <c r="E22" s="28"/>
      <c r="F22" s="28"/>
    </row>
    <row r="23" spans="1:6" x14ac:dyDescent="0.2">
      <c r="A23" s="36">
        <v>1993</v>
      </c>
      <c r="B23" s="76">
        <v>239080</v>
      </c>
      <c r="C23" s="28"/>
      <c r="D23" s="35"/>
      <c r="E23" s="28"/>
      <c r="F23" s="28"/>
    </row>
    <row r="24" spans="1:6" x14ac:dyDescent="0.2">
      <c r="A24" s="36">
        <v>1994</v>
      </c>
      <c r="B24" s="76">
        <v>246580</v>
      </c>
      <c r="C24" s="28"/>
      <c r="D24" s="35"/>
      <c r="E24" s="28"/>
      <c r="F24" s="28"/>
    </row>
    <row r="25" spans="1:6" x14ac:dyDescent="0.2">
      <c r="A25" s="36">
        <v>1995</v>
      </c>
      <c r="B25" s="76">
        <v>247880</v>
      </c>
      <c r="C25" s="28"/>
      <c r="D25" s="35"/>
      <c r="E25" s="28"/>
      <c r="F25" s="28"/>
    </row>
    <row r="26" spans="1:6" x14ac:dyDescent="0.2">
      <c r="A26" s="36">
        <v>1996</v>
      </c>
      <c r="B26" s="76">
        <v>249461</v>
      </c>
      <c r="C26" s="28"/>
      <c r="D26" s="35"/>
      <c r="E26" s="28"/>
      <c r="F26" s="28"/>
    </row>
    <row r="27" spans="1:6" x14ac:dyDescent="0.2">
      <c r="A27" s="36">
        <v>1997</v>
      </c>
      <c r="B27" s="76">
        <v>278198</v>
      </c>
      <c r="C27" s="28"/>
      <c r="D27" s="35"/>
      <c r="E27" s="28"/>
      <c r="F27" s="28"/>
    </row>
    <row r="28" spans="1:6" x14ac:dyDescent="0.2">
      <c r="A28" s="36">
        <v>1998</v>
      </c>
      <c r="B28" s="76">
        <v>281096</v>
      </c>
      <c r="C28" s="28"/>
      <c r="D28" s="35"/>
      <c r="E28" s="28"/>
      <c r="F28" s="28"/>
    </row>
    <row r="29" spans="1:6" x14ac:dyDescent="0.2">
      <c r="A29" s="36">
        <v>1999</v>
      </c>
      <c r="B29" s="76">
        <v>285475</v>
      </c>
      <c r="C29" s="28"/>
      <c r="D29" s="35"/>
      <c r="E29" s="28"/>
      <c r="F29" s="28"/>
    </row>
    <row r="30" spans="1:6" x14ac:dyDescent="0.2">
      <c r="A30" s="36">
        <v>2000</v>
      </c>
      <c r="B30" s="76">
        <v>294025</v>
      </c>
      <c r="D30" s="35"/>
      <c r="E30" s="36"/>
    </row>
    <row r="31" spans="1:6" x14ac:dyDescent="0.2">
      <c r="A31" s="36">
        <v>2001</v>
      </c>
      <c r="B31" s="76">
        <v>294025</v>
      </c>
      <c r="C31" s="36"/>
      <c r="D31" s="36"/>
      <c r="E31" s="36"/>
      <c r="F31" s="36"/>
    </row>
    <row r="32" spans="1:6" x14ac:dyDescent="0.2">
      <c r="A32" s="36">
        <v>2002</v>
      </c>
      <c r="B32" s="76">
        <v>294690</v>
      </c>
      <c r="C32" s="81"/>
      <c r="E32" s="36"/>
      <c r="F32" s="81"/>
    </row>
    <row r="33" spans="1:13" x14ac:dyDescent="0.2">
      <c r="A33" s="36">
        <v>2003</v>
      </c>
      <c r="B33" s="76">
        <v>304523</v>
      </c>
      <c r="C33" s="28"/>
      <c r="D33" s="35"/>
      <c r="E33" s="28"/>
      <c r="F33" s="28"/>
    </row>
    <row r="34" spans="1:13" x14ac:dyDescent="0.2">
      <c r="A34" s="36">
        <v>2004</v>
      </c>
      <c r="B34" s="76">
        <v>304523</v>
      </c>
      <c r="C34" s="28"/>
      <c r="D34" s="35"/>
      <c r="E34" s="28"/>
      <c r="F34" s="28"/>
    </row>
    <row r="35" spans="1:13" x14ac:dyDescent="0.2">
      <c r="A35" s="36">
        <v>2005</v>
      </c>
      <c r="B35" s="76">
        <v>304618</v>
      </c>
      <c r="C35" s="28"/>
      <c r="D35" s="35"/>
      <c r="E35" s="28"/>
      <c r="F35" s="28"/>
    </row>
    <row r="36" spans="1:13" x14ac:dyDescent="0.2">
      <c r="A36" s="36">
        <v>2006</v>
      </c>
      <c r="B36" s="76">
        <v>304618</v>
      </c>
      <c r="C36" s="28"/>
      <c r="D36" s="35"/>
      <c r="E36" s="28"/>
      <c r="F36" s="28"/>
    </row>
    <row r="37" spans="1:13" x14ac:dyDescent="0.2">
      <c r="A37" s="36">
        <v>2007</v>
      </c>
      <c r="B37" s="76">
        <v>307563</v>
      </c>
      <c r="C37" s="28"/>
      <c r="D37" s="35"/>
      <c r="E37" s="28"/>
      <c r="F37" s="28"/>
    </row>
    <row r="38" spans="1:13" x14ac:dyDescent="0.2">
      <c r="A38" s="36">
        <v>2008</v>
      </c>
      <c r="B38" s="76">
        <v>325050</v>
      </c>
      <c r="C38" s="28"/>
      <c r="D38" s="35"/>
      <c r="E38" s="28"/>
      <c r="F38" s="28"/>
    </row>
    <row r="39" spans="1:13" x14ac:dyDescent="0.2">
      <c r="A39" s="36">
        <v>2009</v>
      </c>
      <c r="B39" s="76">
        <v>332703</v>
      </c>
    </row>
    <row r="40" spans="1:13" x14ac:dyDescent="0.2">
      <c r="A40" s="36">
        <v>2010</v>
      </c>
      <c r="B40" s="76">
        <v>332703</v>
      </c>
    </row>
    <row r="41" spans="1:13" x14ac:dyDescent="0.2">
      <c r="A41" s="36">
        <v>2011</v>
      </c>
      <c r="B41" s="85">
        <v>333175</v>
      </c>
    </row>
    <row r="42" spans="1:13" x14ac:dyDescent="0.2">
      <c r="A42" s="36">
        <v>2012</v>
      </c>
      <c r="B42" s="85">
        <v>334433</v>
      </c>
    </row>
    <row r="43" spans="1:13" x14ac:dyDescent="0.2">
      <c r="A43" s="36">
        <v>2013</v>
      </c>
      <c r="B43" s="85">
        <v>334433</v>
      </c>
    </row>
    <row r="44" spans="1:13" x14ac:dyDescent="0.2">
      <c r="A44" s="82" t="s">
        <v>136</v>
      </c>
      <c r="B44" s="85">
        <v>364409</v>
      </c>
      <c r="M44" s="108"/>
    </row>
    <row r="45" spans="1:13" x14ac:dyDescent="0.2">
      <c r="A45" s="82">
        <v>2015</v>
      </c>
      <c r="B45" s="85">
        <v>374209.08080647723</v>
      </c>
    </row>
    <row r="46" spans="1:13" x14ac:dyDescent="0.2">
      <c r="A46" s="82" t="s">
        <v>133</v>
      </c>
      <c r="B46" s="85">
        <v>382418.79586135491</v>
      </c>
    </row>
    <row r="47" spans="1:13" x14ac:dyDescent="0.2">
      <c r="A47" s="82" t="s">
        <v>134</v>
      </c>
      <c r="B47" s="85">
        <v>382418.79586135491</v>
      </c>
    </row>
    <row r="48" spans="1:13" x14ac:dyDescent="0.2">
      <c r="A48" s="82" t="s">
        <v>135</v>
      </c>
      <c r="B48" s="85">
        <v>382418.79586135491</v>
      </c>
    </row>
    <row r="49" spans="1:17" x14ac:dyDescent="0.2">
      <c r="A49" s="82">
        <v>2019</v>
      </c>
      <c r="B49" s="85">
        <v>382418.79586135491</v>
      </c>
    </row>
    <row r="50" spans="1:17" x14ac:dyDescent="0.2">
      <c r="A50" s="82" t="s">
        <v>127</v>
      </c>
      <c r="B50" s="85">
        <v>383271</v>
      </c>
    </row>
    <row r="51" spans="1:17" x14ac:dyDescent="0.2">
      <c r="A51" s="82" t="s">
        <v>128</v>
      </c>
      <c r="B51" s="85">
        <v>385341.78202521219</v>
      </c>
    </row>
    <row r="52" spans="1:17" x14ac:dyDescent="0.2">
      <c r="A52" s="82" t="s">
        <v>129</v>
      </c>
      <c r="B52" s="85">
        <v>391766</v>
      </c>
    </row>
    <row r="53" spans="1:17" x14ac:dyDescent="0.2">
      <c r="A53" s="82" t="s">
        <v>130</v>
      </c>
      <c r="B53" s="109">
        <v>385645.78198228561</v>
      </c>
    </row>
    <row r="54" spans="1:17" x14ac:dyDescent="0.2">
      <c r="A54" s="82" t="s">
        <v>131</v>
      </c>
      <c r="B54" s="109">
        <v>385303</v>
      </c>
      <c r="F54" s="93"/>
    </row>
    <row r="55" spans="1:17" ht="13.5" thickBot="1" x14ac:dyDescent="0.25">
      <c r="A55" s="83" t="s">
        <v>132</v>
      </c>
      <c r="B55" s="110">
        <v>388488</v>
      </c>
      <c r="D55" s="93"/>
      <c r="G55" s="111"/>
      <c r="I55" s="108"/>
    </row>
    <row r="56" spans="1:17" x14ac:dyDescent="0.2">
      <c r="A56" s="39" t="s">
        <v>45</v>
      </c>
    </row>
    <row r="57" spans="1:17" s="113" customFormat="1" x14ac:dyDescent="0.2">
      <c r="A57" s="77" t="s">
        <v>93</v>
      </c>
      <c r="B57" s="78"/>
      <c r="C57" s="78"/>
      <c r="D57" s="78"/>
      <c r="E57" s="78"/>
      <c r="F57" s="78"/>
      <c r="G57" s="79"/>
      <c r="H57" s="79"/>
      <c r="I57" s="79"/>
      <c r="J57" s="112"/>
      <c r="O57" s="114"/>
      <c r="P57" s="114"/>
      <c r="Q57" s="80"/>
    </row>
    <row r="62" spans="1:17" x14ac:dyDescent="0.2">
      <c r="A62" s="115"/>
    </row>
    <row r="63" spans="1:17" x14ac:dyDescent="0.2">
      <c r="A63" s="54"/>
    </row>
    <row r="64" spans="1:17" x14ac:dyDescent="0.2">
      <c r="A64" s="54"/>
    </row>
  </sheetData>
  <phoneticPr fontId="12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8A5B-850C-420D-B77E-9010AB51F804}">
  <dimension ref="A1:R38"/>
  <sheetViews>
    <sheetView showGridLines="0" workbookViewId="0">
      <selection activeCell="A4" sqref="A4:B24"/>
    </sheetView>
  </sheetViews>
  <sheetFormatPr defaultRowHeight="12.75" x14ac:dyDescent="0.2"/>
  <cols>
    <col min="1" max="2" width="28.5703125" style="88" customWidth="1"/>
    <col min="3" max="3" width="9.140625" style="88"/>
    <col min="4" max="4" width="10.28515625" style="88" bestFit="1" customWidth="1"/>
    <col min="5" max="5" width="14" style="88" bestFit="1" customWidth="1"/>
    <col min="6" max="6" width="11.28515625" style="88" bestFit="1" customWidth="1"/>
    <col min="7" max="16384" width="9.140625" style="88"/>
  </cols>
  <sheetData>
    <row r="1" spans="1:18" ht="15" x14ac:dyDescent="0.2">
      <c r="A1" s="95" t="s">
        <v>110</v>
      </c>
    </row>
    <row r="2" spans="1:18" ht="15.75" thickBot="1" x14ac:dyDescent="0.25">
      <c r="A2" s="89" t="s">
        <v>111</v>
      </c>
      <c r="B2" s="9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96"/>
      <c r="R2" s="91"/>
    </row>
    <row r="3" spans="1:18" ht="13.5" thickBot="1" x14ac:dyDescent="0.25">
      <c r="A3" s="74" t="s">
        <v>34</v>
      </c>
      <c r="B3" s="75" t="s">
        <v>44</v>
      </c>
      <c r="C3" s="35"/>
      <c r="D3" s="35"/>
      <c r="E3" s="36"/>
      <c r="F3" s="36"/>
    </row>
    <row r="4" spans="1:18" x14ac:dyDescent="0.2">
      <c r="A4" s="36">
        <v>2005</v>
      </c>
      <c r="B4" s="76">
        <v>1470.2646279452056</v>
      </c>
      <c r="C4" s="35"/>
      <c r="D4" s="35"/>
      <c r="E4" s="28"/>
      <c r="F4" s="28"/>
    </row>
    <row r="5" spans="1:18" x14ac:dyDescent="0.2">
      <c r="A5" s="36">
        <v>2006</v>
      </c>
      <c r="B5" s="76">
        <v>11004.927293698631</v>
      </c>
      <c r="C5" s="35"/>
      <c r="D5" s="35"/>
      <c r="E5" s="28"/>
      <c r="F5" s="28"/>
    </row>
    <row r="6" spans="1:18" x14ac:dyDescent="0.2">
      <c r="A6" s="36">
        <v>2007</v>
      </c>
      <c r="B6" s="76">
        <v>42651.270539424659</v>
      </c>
      <c r="C6" s="35"/>
      <c r="D6" s="35"/>
      <c r="E6" s="28"/>
      <c r="F6" s="28"/>
    </row>
    <row r="7" spans="1:18" x14ac:dyDescent="0.2">
      <c r="A7" s="36">
        <v>2008</v>
      </c>
      <c r="B7" s="76">
        <v>57131.09383749315</v>
      </c>
      <c r="C7" s="28"/>
      <c r="D7" s="35"/>
      <c r="E7" s="28"/>
      <c r="F7" s="28"/>
    </row>
    <row r="8" spans="1:18" x14ac:dyDescent="0.2">
      <c r="A8" s="36">
        <v>2009</v>
      </c>
      <c r="B8" s="76">
        <v>75681.320288082192</v>
      </c>
    </row>
    <row r="9" spans="1:18" x14ac:dyDescent="0.2">
      <c r="A9" s="36">
        <v>2010</v>
      </c>
      <c r="B9" s="76">
        <v>100601.27523685478</v>
      </c>
    </row>
    <row r="10" spans="1:18" x14ac:dyDescent="0.2">
      <c r="A10" s="36">
        <v>2011</v>
      </c>
      <c r="B10" s="85">
        <v>116677.90552389041</v>
      </c>
    </row>
    <row r="11" spans="1:18" x14ac:dyDescent="0.2">
      <c r="A11" s="36">
        <v>2012</v>
      </c>
      <c r="B11" s="85">
        <v>129367.3025256</v>
      </c>
    </row>
    <row r="12" spans="1:18" x14ac:dyDescent="0.2">
      <c r="A12" s="36">
        <v>2013</v>
      </c>
      <c r="B12" s="85">
        <v>138110.32711989997</v>
      </c>
    </row>
    <row r="13" spans="1:18" x14ac:dyDescent="0.2">
      <c r="A13" s="82" t="s">
        <v>137</v>
      </c>
      <c r="B13" s="85">
        <v>133114.4568331</v>
      </c>
      <c r="M13" s="108"/>
    </row>
    <row r="14" spans="1:18" x14ac:dyDescent="0.2">
      <c r="A14" s="82">
        <v>2015</v>
      </c>
      <c r="B14" s="85">
        <v>128098.96233909998</v>
      </c>
    </row>
    <row r="15" spans="1:18" x14ac:dyDescent="0.2">
      <c r="A15" s="82" t="s">
        <v>133</v>
      </c>
      <c r="B15" s="85">
        <v>128820.40354609996</v>
      </c>
    </row>
    <row r="16" spans="1:18" x14ac:dyDescent="0.2">
      <c r="A16" s="82" t="s">
        <v>134</v>
      </c>
      <c r="B16" s="85">
        <v>133405.67503609997</v>
      </c>
    </row>
    <row r="17" spans="1:6" x14ac:dyDescent="0.2">
      <c r="A17" s="82" t="s">
        <v>135</v>
      </c>
      <c r="B17" s="85">
        <v>149194.41899619999</v>
      </c>
    </row>
    <row r="18" spans="1:6" x14ac:dyDescent="0.2">
      <c r="A18" s="82">
        <v>2019</v>
      </c>
      <c r="B18" s="85">
        <v>160819.49743059999</v>
      </c>
    </row>
    <row r="19" spans="1:6" x14ac:dyDescent="0.2">
      <c r="A19" s="82" t="s">
        <v>127</v>
      </c>
      <c r="B19" s="85">
        <v>178577.95829030001</v>
      </c>
    </row>
    <row r="20" spans="1:6" x14ac:dyDescent="0.2">
      <c r="A20" s="82" t="s">
        <v>128</v>
      </c>
      <c r="B20" s="85">
        <v>213436.08531030003</v>
      </c>
    </row>
    <row r="21" spans="1:6" x14ac:dyDescent="0.2">
      <c r="A21" s="82" t="s">
        <v>129</v>
      </c>
      <c r="B21" s="85">
        <v>235421.29849000002</v>
      </c>
    </row>
    <row r="22" spans="1:6" x14ac:dyDescent="0.2">
      <c r="A22" s="82" t="s">
        <v>130</v>
      </c>
      <c r="B22" s="86">
        <v>251202.43178000001</v>
      </c>
      <c r="E22" s="111"/>
      <c r="F22" s="92"/>
    </row>
    <row r="23" spans="1:6" x14ac:dyDescent="0.2">
      <c r="A23" s="82" t="s">
        <v>131</v>
      </c>
      <c r="B23" s="86">
        <v>260070.65</v>
      </c>
    </row>
    <row r="24" spans="1:6" ht="13.5" thickBot="1" x14ac:dyDescent="0.25">
      <c r="A24" s="83" t="s">
        <v>132</v>
      </c>
      <c r="B24" s="87">
        <v>267838.97923</v>
      </c>
      <c r="D24" s="108"/>
      <c r="E24" s="108"/>
    </row>
    <row r="25" spans="1:6" x14ac:dyDescent="0.2">
      <c r="A25" s="84" t="s">
        <v>94</v>
      </c>
    </row>
    <row r="26" spans="1:6" x14ac:dyDescent="0.2">
      <c r="A26" s="39"/>
    </row>
    <row r="27" spans="1:6" x14ac:dyDescent="0.2">
      <c r="A27" s="115"/>
    </row>
    <row r="28" spans="1:6" x14ac:dyDescent="0.2">
      <c r="A28" s="115"/>
      <c r="B28" s="115"/>
    </row>
    <row r="30" spans="1:6" x14ac:dyDescent="0.2">
      <c r="A30" s="116"/>
    </row>
    <row r="32" spans="1:6" x14ac:dyDescent="0.2">
      <c r="B32" s="111"/>
    </row>
    <row r="37" spans="2:2" x14ac:dyDescent="0.2">
      <c r="B37" s="117"/>
    </row>
    <row r="38" spans="2:2" x14ac:dyDescent="0.2">
      <c r="B38" s="108"/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55AA-AEB9-4407-BF65-E8799F542FE5}">
  <sheetPr>
    <tabColor rgb="FFFFFF00"/>
    <pageSetUpPr fitToPage="1"/>
  </sheetPr>
  <dimension ref="A1:Q54"/>
  <sheetViews>
    <sheetView showGridLines="0" workbookViewId="0">
      <pane xSplit="1" ySplit="11" topLeftCell="E26" activePane="bottomRight" state="frozen"/>
      <selection activeCell="K7" sqref="K7"/>
      <selection pane="topRight" activeCell="K7" sqref="K7"/>
      <selection pane="bottomLeft" activeCell="K7" sqref="K7"/>
      <selection pane="bottomRight" activeCell="K7" sqref="K7"/>
    </sheetView>
  </sheetViews>
  <sheetFormatPr defaultRowHeight="15" customHeight="1" x14ac:dyDescent="0.2"/>
  <cols>
    <col min="1" max="1" width="10.7109375" style="5" customWidth="1"/>
    <col min="2" max="10" width="12.7109375" style="6" customWidth="1"/>
    <col min="11" max="11" width="17.7109375" style="6" customWidth="1"/>
    <col min="12" max="15" width="12.7109375" style="6" customWidth="1"/>
    <col min="16" max="16384" width="9.140625" style="6"/>
  </cols>
  <sheetData>
    <row r="1" spans="1:15" ht="15" customHeight="1" x14ac:dyDescent="0.2">
      <c r="D1" s="3" t="s">
        <v>6</v>
      </c>
    </row>
    <row r="8" spans="1:15" ht="15" customHeight="1" x14ac:dyDescent="0.2">
      <c r="A8" s="7" t="s">
        <v>8</v>
      </c>
    </row>
    <row r="9" spans="1:15" ht="15" customHeight="1" thickBot="1" x14ac:dyDescent="0.25">
      <c r="A9" s="8" t="s">
        <v>7</v>
      </c>
      <c r="O9" s="22" t="s">
        <v>0</v>
      </c>
    </row>
    <row r="10" spans="1:15" ht="15" customHeight="1" x14ac:dyDescent="0.2">
      <c r="A10" s="134" t="s">
        <v>9</v>
      </c>
      <c r="B10" s="10" t="s">
        <v>15</v>
      </c>
      <c r="C10" s="10"/>
      <c r="D10" s="10"/>
      <c r="E10" s="10" t="s">
        <v>10</v>
      </c>
      <c r="F10" s="10"/>
      <c r="G10" s="10"/>
      <c r="H10" s="133" t="s">
        <v>27</v>
      </c>
      <c r="I10" s="133"/>
      <c r="J10" s="133"/>
      <c r="K10" s="9" t="s">
        <v>22</v>
      </c>
      <c r="L10" s="9" t="s">
        <v>21</v>
      </c>
      <c r="M10" s="133" t="s">
        <v>1</v>
      </c>
      <c r="N10" s="133"/>
      <c r="O10" s="133"/>
    </row>
    <row r="11" spans="1:15" ht="15" customHeight="1" thickBot="1" x14ac:dyDescent="0.25">
      <c r="A11" s="135"/>
      <c r="B11" s="11" t="s">
        <v>28</v>
      </c>
      <c r="C11" s="11" t="s">
        <v>29</v>
      </c>
      <c r="D11" s="11" t="s">
        <v>1</v>
      </c>
      <c r="E11" s="11" t="s">
        <v>11</v>
      </c>
      <c r="F11" s="11" t="s">
        <v>2</v>
      </c>
      <c r="G11" s="11" t="s">
        <v>1</v>
      </c>
      <c r="H11" s="11" t="s">
        <v>11</v>
      </c>
      <c r="I11" s="11" t="s">
        <v>2</v>
      </c>
      <c r="J11" s="11" t="s">
        <v>1</v>
      </c>
      <c r="K11" s="12"/>
      <c r="L11" s="12" t="s">
        <v>12</v>
      </c>
      <c r="M11" s="11" t="s">
        <v>11</v>
      </c>
      <c r="N11" s="11" t="s">
        <v>2</v>
      </c>
      <c r="O11" s="11" t="s">
        <v>1</v>
      </c>
    </row>
    <row r="12" spans="1:15" ht="15" customHeight="1" x14ac:dyDescent="0.2">
      <c r="A12" s="7">
        <v>1974</v>
      </c>
      <c r="B12" s="25">
        <v>13224</v>
      </c>
      <c r="C12" s="25">
        <v>500</v>
      </c>
      <c r="D12" s="25">
        <v>13724</v>
      </c>
      <c r="E12" s="25">
        <v>2489</v>
      </c>
      <c r="F12" s="25">
        <v>1920</v>
      </c>
      <c r="G12" s="25">
        <v>4409</v>
      </c>
      <c r="H12" s="25">
        <v>0</v>
      </c>
      <c r="I12" s="25">
        <v>0</v>
      </c>
      <c r="J12" s="25">
        <v>0</v>
      </c>
      <c r="K12" s="25">
        <v>4409</v>
      </c>
      <c r="L12" s="25">
        <v>0</v>
      </c>
      <c r="M12" s="25">
        <v>15713</v>
      </c>
      <c r="N12" s="25">
        <v>2420</v>
      </c>
      <c r="O12" s="25">
        <v>18133</v>
      </c>
    </row>
    <row r="13" spans="1:15" ht="15" customHeight="1" x14ac:dyDescent="0.2">
      <c r="A13" s="7">
        <v>1975</v>
      </c>
      <c r="B13" s="25">
        <v>15815</v>
      </c>
      <c r="C13" s="25">
        <v>501</v>
      </c>
      <c r="D13" s="25">
        <v>16316</v>
      </c>
      <c r="E13" s="25">
        <v>2436</v>
      </c>
      <c r="F13" s="25">
        <v>2216</v>
      </c>
      <c r="G13" s="25">
        <v>4652</v>
      </c>
      <c r="H13" s="25">
        <v>0</v>
      </c>
      <c r="I13" s="25">
        <v>0</v>
      </c>
      <c r="J13" s="25">
        <v>0</v>
      </c>
      <c r="K13" s="25">
        <v>4652</v>
      </c>
      <c r="L13" s="25">
        <v>0</v>
      </c>
      <c r="M13" s="25">
        <v>18251</v>
      </c>
      <c r="N13" s="25">
        <v>2717</v>
      </c>
      <c r="O13" s="25">
        <v>20968</v>
      </c>
    </row>
    <row r="14" spans="1:15" ht="15" customHeight="1" x14ac:dyDescent="0.2">
      <c r="A14" s="7">
        <v>1976</v>
      </c>
      <c r="B14" s="25">
        <v>17343</v>
      </c>
      <c r="C14" s="25">
        <v>561</v>
      </c>
      <c r="D14" s="25">
        <v>17904</v>
      </c>
      <c r="E14" s="25">
        <v>2457</v>
      </c>
      <c r="F14" s="25">
        <v>2223</v>
      </c>
      <c r="G14" s="25">
        <v>4680</v>
      </c>
      <c r="H14" s="25">
        <v>0</v>
      </c>
      <c r="I14" s="25">
        <v>0</v>
      </c>
      <c r="J14" s="25">
        <v>0</v>
      </c>
      <c r="K14" s="25">
        <v>4680</v>
      </c>
      <c r="L14" s="25">
        <v>0</v>
      </c>
      <c r="M14" s="25">
        <v>19800</v>
      </c>
      <c r="N14" s="25">
        <v>2784</v>
      </c>
      <c r="O14" s="25">
        <v>22584</v>
      </c>
    </row>
    <row r="15" spans="1:15" ht="15" customHeight="1" x14ac:dyDescent="0.2">
      <c r="A15" s="7">
        <v>1977</v>
      </c>
      <c r="B15" s="25">
        <v>18835</v>
      </c>
      <c r="C15" s="25">
        <v>561</v>
      </c>
      <c r="D15" s="25">
        <v>19396</v>
      </c>
      <c r="E15" s="25">
        <v>2729</v>
      </c>
      <c r="F15" s="25">
        <v>2214</v>
      </c>
      <c r="G15" s="25">
        <v>4943</v>
      </c>
      <c r="H15" s="25">
        <v>0</v>
      </c>
      <c r="I15" s="25">
        <v>0</v>
      </c>
      <c r="J15" s="25">
        <v>0</v>
      </c>
      <c r="K15" s="25">
        <v>4943</v>
      </c>
      <c r="L15" s="25">
        <v>0</v>
      </c>
      <c r="M15" s="25">
        <v>21564</v>
      </c>
      <c r="N15" s="25">
        <v>2775</v>
      </c>
      <c r="O15" s="25">
        <v>24339</v>
      </c>
    </row>
    <row r="16" spans="1:15" ht="15" customHeight="1" x14ac:dyDescent="0.2">
      <c r="A16" s="7">
        <v>1978</v>
      </c>
      <c r="B16" s="25">
        <v>21104</v>
      </c>
      <c r="C16" s="25">
        <v>561</v>
      </c>
      <c r="D16" s="25">
        <v>21665</v>
      </c>
      <c r="E16" s="25">
        <v>3048</v>
      </c>
      <c r="F16" s="25">
        <v>2259</v>
      </c>
      <c r="G16" s="25">
        <v>5307</v>
      </c>
      <c r="H16" s="25">
        <v>0</v>
      </c>
      <c r="I16" s="25">
        <v>0</v>
      </c>
      <c r="J16" s="25">
        <v>0</v>
      </c>
      <c r="K16" s="25">
        <v>5307</v>
      </c>
      <c r="L16" s="25">
        <v>0</v>
      </c>
      <c r="M16" s="25">
        <v>24152</v>
      </c>
      <c r="N16" s="25">
        <v>2820</v>
      </c>
      <c r="O16" s="25">
        <v>26972</v>
      </c>
    </row>
    <row r="17" spans="1:15" ht="15" customHeight="1" x14ac:dyDescent="0.2">
      <c r="A17" s="7">
        <v>1979</v>
      </c>
      <c r="B17" s="25">
        <v>23667</v>
      </c>
      <c r="C17" s="25">
        <v>568</v>
      </c>
      <c r="D17" s="25">
        <v>24235</v>
      </c>
      <c r="E17" s="25">
        <v>3573</v>
      </c>
      <c r="F17" s="25">
        <v>2411</v>
      </c>
      <c r="G17" s="25">
        <v>5984</v>
      </c>
      <c r="H17" s="25">
        <v>0</v>
      </c>
      <c r="I17" s="25">
        <v>0</v>
      </c>
      <c r="J17" s="25">
        <v>0</v>
      </c>
      <c r="K17" s="25">
        <v>5984</v>
      </c>
      <c r="L17" s="25">
        <v>0</v>
      </c>
      <c r="M17" s="25">
        <v>27240</v>
      </c>
      <c r="N17" s="25">
        <v>2979</v>
      </c>
      <c r="O17" s="25">
        <v>30219</v>
      </c>
    </row>
    <row r="18" spans="1:15" ht="15" customHeight="1" x14ac:dyDescent="0.2">
      <c r="A18" s="7">
        <v>1980</v>
      </c>
      <c r="B18" s="25">
        <v>27081</v>
      </c>
      <c r="C18" s="25">
        <v>568</v>
      </c>
      <c r="D18" s="25">
        <v>27649</v>
      </c>
      <c r="E18" s="25">
        <v>3484</v>
      </c>
      <c r="F18" s="25">
        <v>2339</v>
      </c>
      <c r="G18" s="25">
        <v>5823</v>
      </c>
      <c r="H18" s="25">
        <v>0</v>
      </c>
      <c r="I18" s="25">
        <v>0</v>
      </c>
      <c r="J18" s="25">
        <v>0</v>
      </c>
      <c r="K18" s="25">
        <v>5823</v>
      </c>
      <c r="L18" s="25">
        <v>0</v>
      </c>
      <c r="M18" s="25">
        <v>30565</v>
      </c>
      <c r="N18" s="25">
        <v>2907</v>
      </c>
      <c r="O18" s="25">
        <v>33472</v>
      </c>
    </row>
    <row r="19" spans="1:15" ht="15" customHeight="1" x14ac:dyDescent="0.2">
      <c r="A19" s="7">
        <v>1981</v>
      </c>
      <c r="B19" s="25">
        <v>30596</v>
      </c>
      <c r="C19" s="25">
        <v>577</v>
      </c>
      <c r="D19" s="25">
        <v>31173</v>
      </c>
      <c r="E19" s="25">
        <v>3655</v>
      </c>
      <c r="F19" s="25">
        <v>2441</v>
      </c>
      <c r="G19" s="25">
        <v>6096</v>
      </c>
      <c r="H19" s="25">
        <v>0</v>
      </c>
      <c r="I19" s="25">
        <v>0</v>
      </c>
      <c r="J19" s="25">
        <v>0</v>
      </c>
      <c r="K19" s="25">
        <v>6096</v>
      </c>
      <c r="L19" s="25">
        <v>0</v>
      </c>
      <c r="M19" s="25">
        <v>34251</v>
      </c>
      <c r="N19" s="25">
        <v>3018</v>
      </c>
      <c r="O19" s="25">
        <v>37269</v>
      </c>
    </row>
    <row r="20" spans="1:15" ht="15" customHeight="1" x14ac:dyDescent="0.2">
      <c r="A20" s="7">
        <v>1982</v>
      </c>
      <c r="B20" s="25">
        <v>32542</v>
      </c>
      <c r="C20" s="25">
        <v>614</v>
      </c>
      <c r="D20" s="25">
        <v>33156</v>
      </c>
      <c r="E20" s="25">
        <v>3687</v>
      </c>
      <c r="F20" s="25">
        <v>2503</v>
      </c>
      <c r="G20" s="25">
        <v>6190</v>
      </c>
      <c r="H20" s="25">
        <v>0</v>
      </c>
      <c r="I20" s="25">
        <v>0</v>
      </c>
      <c r="J20" s="25">
        <v>0</v>
      </c>
      <c r="K20" s="25">
        <v>6190</v>
      </c>
      <c r="L20" s="25">
        <v>0</v>
      </c>
      <c r="M20" s="25">
        <v>36229</v>
      </c>
      <c r="N20" s="25">
        <v>3117</v>
      </c>
      <c r="O20" s="25">
        <v>39346</v>
      </c>
    </row>
    <row r="21" spans="1:15" ht="15" customHeight="1" x14ac:dyDescent="0.2">
      <c r="A21" s="7">
        <v>1983</v>
      </c>
      <c r="B21" s="25">
        <v>33556</v>
      </c>
      <c r="C21" s="25">
        <v>622</v>
      </c>
      <c r="D21" s="25">
        <v>34178</v>
      </c>
      <c r="E21" s="25">
        <v>3641</v>
      </c>
      <c r="F21" s="25">
        <v>2547</v>
      </c>
      <c r="G21" s="25">
        <v>6188</v>
      </c>
      <c r="H21" s="25">
        <v>0</v>
      </c>
      <c r="I21" s="25">
        <v>0</v>
      </c>
      <c r="J21" s="25">
        <v>0</v>
      </c>
      <c r="K21" s="25">
        <v>6188</v>
      </c>
      <c r="L21" s="25">
        <v>0</v>
      </c>
      <c r="M21" s="25">
        <v>37197</v>
      </c>
      <c r="N21" s="25">
        <v>3169</v>
      </c>
      <c r="O21" s="25">
        <v>40366</v>
      </c>
    </row>
    <row r="22" spans="1:15" ht="15" customHeight="1" x14ac:dyDescent="0.2">
      <c r="A22" s="7">
        <v>1984</v>
      </c>
      <c r="B22" s="25">
        <v>34301</v>
      </c>
      <c r="C22" s="25">
        <v>622</v>
      </c>
      <c r="D22" s="25">
        <v>34923</v>
      </c>
      <c r="E22" s="25">
        <v>3626</v>
      </c>
      <c r="F22" s="25">
        <v>2547</v>
      </c>
      <c r="G22" s="25">
        <v>6173</v>
      </c>
      <c r="H22" s="25">
        <v>0</v>
      </c>
      <c r="I22" s="25">
        <v>0</v>
      </c>
      <c r="J22" s="25">
        <v>0</v>
      </c>
      <c r="K22" s="25">
        <v>6173</v>
      </c>
      <c r="L22" s="25">
        <v>0</v>
      </c>
      <c r="M22" s="25">
        <v>37927</v>
      </c>
      <c r="N22" s="25">
        <v>3169</v>
      </c>
      <c r="O22" s="25">
        <v>41096</v>
      </c>
    </row>
    <row r="23" spans="1:15" ht="15" customHeight="1" x14ac:dyDescent="0.2">
      <c r="A23" s="7">
        <v>1985</v>
      </c>
      <c r="B23" s="25">
        <v>36453</v>
      </c>
      <c r="C23" s="25">
        <v>624</v>
      </c>
      <c r="D23" s="25">
        <v>37077</v>
      </c>
      <c r="E23" s="25">
        <v>3708</v>
      </c>
      <c r="F23" s="25">
        <v>2665</v>
      </c>
      <c r="G23" s="25">
        <v>6373</v>
      </c>
      <c r="H23" s="25">
        <v>0</v>
      </c>
      <c r="I23" s="25">
        <v>0</v>
      </c>
      <c r="J23" s="25">
        <v>0</v>
      </c>
      <c r="K23" s="25">
        <v>6373</v>
      </c>
      <c r="L23" s="25">
        <v>657</v>
      </c>
      <c r="M23" s="25">
        <v>40818</v>
      </c>
      <c r="N23" s="25">
        <v>3289</v>
      </c>
      <c r="O23" s="25">
        <v>44107</v>
      </c>
    </row>
    <row r="24" spans="1:15" ht="15" customHeight="1" x14ac:dyDescent="0.2">
      <c r="A24" s="7">
        <v>1986</v>
      </c>
      <c r="B24" s="25">
        <v>37162</v>
      </c>
      <c r="C24" s="25">
        <v>624</v>
      </c>
      <c r="D24" s="25">
        <v>37786</v>
      </c>
      <c r="E24" s="25">
        <v>3845</v>
      </c>
      <c r="F24" s="25">
        <v>2665</v>
      </c>
      <c r="G24" s="25">
        <v>6510</v>
      </c>
      <c r="H24" s="25">
        <v>0</v>
      </c>
      <c r="I24" s="25">
        <v>0</v>
      </c>
      <c r="J24" s="25">
        <v>0</v>
      </c>
      <c r="K24" s="25">
        <v>6510</v>
      </c>
      <c r="L24" s="25">
        <v>657</v>
      </c>
      <c r="M24" s="25">
        <v>41664</v>
      </c>
      <c r="N24" s="25">
        <v>3289</v>
      </c>
      <c r="O24" s="25">
        <v>44953</v>
      </c>
    </row>
    <row r="25" spans="1:15" ht="15" customHeight="1" x14ac:dyDescent="0.2">
      <c r="A25" s="7">
        <v>1987</v>
      </c>
      <c r="B25" s="25">
        <v>39693</v>
      </c>
      <c r="C25" s="25">
        <v>636</v>
      </c>
      <c r="D25" s="25">
        <v>40329</v>
      </c>
      <c r="E25" s="25">
        <v>3910</v>
      </c>
      <c r="F25" s="25">
        <v>2665</v>
      </c>
      <c r="G25" s="25">
        <v>6575</v>
      </c>
      <c r="H25" s="25">
        <v>0</v>
      </c>
      <c r="I25" s="25">
        <v>0</v>
      </c>
      <c r="J25" s="25">
        <v>0</v>
      </c>
      <c r="K25" s="25">
        <v>6575</v>
      </c>
      <c r="L25" s="25">
        <v>657</v>
      </c>
      <c r="M25" s="25">
        <v>44260</v>
      </c>
      <c r="N25" s="25">
        <v>3301</v>
      </c>
      <c r="O25" s="25">
        <v>47561</v>
      </c>
    </row>
    <row r="26" spans="1:15" ht="15" customHeight="1" x14ac:dyDescent="0.2">
      <c r="A26" s="7">
        <v>1988</v>
      </c>
      <c r="B26" s="25">
        <v>41583</v>
      </c>
      <c r="C26" s="25">
        <v>645</v>
      </c>
      <c r="D26" s="25">
        <v>42228</v>
      </c>
      <c r="E26" s="25">
        <v>4025</v>
      </c>
      <c r="F26" s="25">
        <v>2665</v>
      </c>
      <c r="G26" s="25">
        <v>6690</v>
      </c>
      <c r="H26" s="25">
        <v>0</v>
      </c>
      <c r="I26" s="25">
        <v>0</v>
      </c>
      <c r="J26" s="25">
        <v>0</v>
      </c>
      <c r="K26" s="25">
        <v>6690</v>
      </c>
      <c r="L26" s="25">
        <v>657</v>
      </c>
      <c r="M26" s="25">
        <v>46265</v>
      </c>
      <c r="N26" s="25">
        <v>3310</v>
      </c>
      <c r="O26" s="25">
        <v>49575</v>
      </c>
    </row>
    <row r="27" spans="1:15" ht="15" customHeight="1" x14ac:dyDescent="0.2">
      <c r="A27" s="7">
        <v>1989</v>
      </c>
      <c r="B27" s="25">
        <v>44172</v>
      </c>
      <c r="C27" s="25">
        <v>624</v>
      </c>
      <c r="D27" s="25">
        <v>44796</v>
      </c>
      <c r="E27" s="25">
        <v>4007</v>
      </c>
      <c r="F27" s="25">
        <v>2665</v>
      </c>
      <c r="G27" s="25">
        <v>6672</v>
      </c>
      <c r="H27" s="25">
        <v>0</v>
      </c>
      <c r="I27" s="25">
        <v>0</v>
      </c>
      <c r="J27" s="25">
        <v>0</v>
      </c>
      <c r="K27" s="25">
        <v>6672</v>
      </c>
      <c r="L27" s="25">
        <v>657</v>
      </c>
      <c r="M27" s="25">
        <v>48836</v>
      </c>
      <c r="N27" s="25">
        <v>3289</v>
      </c>
      <c r="O27" s="25">
        <v>52125</v>
      </c>
    </row>
    <row r="28" spans="1:15" ht="15" customHeight="1" x14ac:dyDescent="0.2">
      <c r="A28" s="7">
        <v>1990</v>
      </c>
      <c r="B28" s="25">
        <v>44934</v>
      </c>
      <c r="C28" s="25">
        <v>624</v>
      </c>
      <c r="D28" s="25">
        <v>45558</v>
      </c>
      <c r="E28" s="25">
        <v>4170</v>
      </c>
      <c r="F28" s="25">
        <v>2665</v>
      </c>
      <c r="G28" s="25">
        <v>6835</v>
      </c>
      <c r="H28" s="25">
        <v>0</v>
      </c>
      <c r="I28" s="25">
        <v>0</v>
      </c>
      <c r="J28" s="25">
        <v>0</v>
      </c>
      <c r="K28" s="25">
        <v>6835</v>
      </c>
      <c r="L28" s="25">
        <v>657</v>
      </c>
      <c r="M28" s="25">
        <v>49761</v>
      </c>
      <c r="N28" s="25">
        <v>3289</v>
      </c>
      <c r="O28" s="25">
        <v>53050</v>
      </c>
    </row>
    <row r="29" spans="1:15" ht="15" customHeight="1" x14ac:dyDescent="0.2">
      <c r="A29" s="7">
        <v>1991</v>
      </c>
      <c r="B29" s="25">
        <v>45992</v>
      </c>
      <c r="C29" s="25">
        <v>624</v>
      </c>
      <c r="D29" s="25">
        <v>46616</v>
      </c>
      <c r="E29" s="25">
        <v>4203</v>
      </c>
      <c r="F29" s="25">
        <v>2665</v>
      </c>
      <c r="G29" s="25">
        <v>6868</v>
      </c>
      <c r="H29" s="25">
        <v>0</v>
      </c>
      <c r="I29" s="25">
        <v>0</v>
      </c>
      <c r="J29" s="25">
        <v>0</v>
      </c>
      <c r="K29" s="25">
        <v>6868</v>
      </c>
      <c r="L29" s="25">
        <v>657</v>
      </c>
      <c r="M29" s="25">
        <v>50852</v>
      </c>
      <c r="N29" s="25">
        <v>3289</v>
      </c>
      <c r="O29" s="25">
        <v>54141</v>
      </c>
    </row>
    <row r="30" spans="1:15" ht="15" customHeight="1" x14ac:dyDescent="0.2">
      <c r="A30" s="7">
        <v>1992</v>
      </c>
      <c r="B30" s="25">
        <v>47085</v>
      </c>
      <c r="C30" s="25">
        <v>624</v>
      </c>
      <c r="D30" s="25">
        <v>47709</v>
      </c>
      <c r="E30" s="25">
        <v>4018.5</v>
      </c>
      <c r="F30" s="25">
        <v>2665</v>
      </c>
      <c r="G30" s="25">
        <v>6683.5</v>
      </c>
      <c r="H30" s="25">
        <v>7.4999999999999997E-2</v>
      </c>
      <c r="I30" s="25">
        <v>0</v>
      </c>
      <c r="J30" s="25">
        <v>7.4999999999999997E-2</v>
      </c>
      <c r="K30" s="25">
        <v>6683.5749999999998</v>
      </c>
      <c r="L30" s="25">
        <v>657</v>
      </c>
      <c r="M30" s="25">
        <v>51760.574999999997</v>
      </c>
      <c r="N30" s="25">
        <v>3289</v>
      </c>
      <c r="O30" s="25">
        <v>55049.574999999997</v>
      </c>
    </row>
    <row r="31" spans="1:15" ht="15" customHeight="1" x14ac:dyDescent="0.2">
      <c r="A31" s="7">
        <v>1993</v>
      </c>
      <c r="B31" s="25">
        <v>47967</v>
      </c>
      <c r="C31" s="25">
        <v>624</v>
      </c>
      <c r="D31" s="25">
        <v>48591</v>
      </c>
      <c r="E31" s="25">
        <v>4127.5</v>
      </c>
      <c r="F31" s="25">
        <v>2847</v>
      </c>
      <c r="G31" s="25">
        <v>6974.5</v>
      </c>
      <c r="H31" s="25">
        <v>7.4999999999999997E-2</v>
      </c>
      <c r="I31" s="25">
        <v>0</v>
      </c>
      <c r="J31" s="25">
        <v>7.4999999999999997E-2</v>
      </c>
      <c r="K31" s="25">
        <v>6974.5749999999998</v>
      </c>
      <c r="L31" s="25">
        <v>657</v>
      </c>
      <c r="M31" s="25">
        <v>52751.574999999997</v>
      </c>
      <c r="N31" s="25">
        <v>3471</v>
      </c>
      <c r="O31" s="25">
        <v>56222.574999999997</v>
      </c>
    </row>
    <row r="32" spans="1:15" ht="15" customHeight="1" x14ac:dyDescent="0.2">
      <c r="A32" s="7">
        <v>1994</v>
      </c>
      <c r="B32" s="25">
        <v>49297</v>
      </c>
      <c r="C32" s="25">
        <v>624</v>
      </c>
      <c r="D32" s="25">
        <v>49921</v>
      </c>
      <c r="E32" s="25">
        <v>4150.5</v>
      </c>
      <c r="F32" s="25">
        <v>2900</v>
      </c>
      <c r="G32" s="25">
        <v>7050.5</v>
      </c>
      <c r="H32" s="25">
        <v>1.075</v>
      </c>
      <c r="I32" s="25">
        <v>0</v>
      </c>
      <c r="J32" s="25">
        <v>1.075</v>
      </c>
      <c r="K32" s="25">
        <v>7051.5749999999998</v>
      </c>
      <c r="L32" s="25">
        <v>657</v>
      </c>
      <c r="M32" s="25">
        <v>54105.574999999997</v>
      </c>
      <c r="N32" s="25">
        <v>3524</v>
      </c>
      <c r="O32" s="25">
        <v>57629.574999999997</v>
      </c>
    </row>
    <row r="33" spans="1:17" ht="15" customHeight="1" x14ac:dyDescent="0.2">
      <c r="A33" s="7">
        <v>1995</v>
      </c>
      <c r="B33" s="25">
        <v>50680</v>
      </c>
      <c r="C33" s="25">
        <v>687</v>
      </c>
      <c r="D33" s="25">
        <v>51367</v>
      </c>
      <c r="E33" s="25">
        <v>4196.5</v>
      </c>
      <c r="F33" s="25">
        <v>2900</v>
      </c>
      <c r="G33" s="25">
        <v>7096.5</v>
      </c>
      <c r="H33" s="25">
        <v>1.075</v>
      </c>
      <c r="I33" s="25">
        <v>0</v>
      </c>
      <c r="J33" s="25">
        <v>1.075</v>
      </c>
      <c r="K33" s="25">
        <v>7097.5749999999998</v>
      </c>
      <c r="L33" s="25">
        <v>657</v>
      </c>
      <c r="M33" s="25">
        <v>55534.574999999997</v>
      </c>
      <c r="N33" s="25">
        <v>3587</v>
      </c>
      <c r="O33" s="25">
        <v>59121.574999999997</v>
      </c>
    </row>
    <row r="34" spans="1:17" ht="15" customHeight="1" x14ac:dyDescent="0.2">
      <c r="A34" s="7">
        <v>1996</v>
      </c>
      <c r="B34" s="25">
        <v>52432</v>
      </c>
      <c r="C34" s="25">
        <v>687</v>
      </c>
      <c r="D34" s="25">
        <v>53119</v>
      </c>
      <c r="E34" s="25">
        <v>4104.5</v>
      </c>
      <c r="F34" s="25">
        <v>2920</v>
      </c>
      <c r="G34" s="25">
        <v>7024.5</v>
      </c>
      <c r="H34" s="25">
        <v>1.075</v>
      </c>
      <c r="I34" s="25">
        <v>0</v>
      </c>
      <c r="J34" s="25">
        <v>1.075</v>
      </c>
      <c r="K34" s="25">
        <v>7025.5749999999998</v>
      </c>
      <c r="L34" s="25">
        <v>657</v>
      </c>
      <c r="M34" s="25">
        <v>57194.574999999997</v>
      </c>
      <c r="N34" s="25">
        <v>3607</v>
      </c>
      <c r="O34" s="25">
        <v>60801.574999999997</v>
      </c>
    </row>
    <row r="35" spans="1:17" ht="15" customHeight="1" x14ac:dyDescent="0.2">
      <c r="A35" s="7">
        <v>1997</v>
      </c>
      <c r="B35" s="25">
        <v>53987</v>
      </c>
      <c r="C35" s="25">
        <v>902</v>
      </c>
      <c r="D35" s="25">
        <v>54889</v>
      </c>
      <c r="E35" s="25">
        <v>4505.5</v>
      </c>
      <c r="F35" s="25">
        <v>2920</v>
      </c>
      <c r="G35" s="25">
        <v>7425.5</v>
      </c>
      <c r="H35" s="25">
        <v>1.075</v>
      </c>
      <c r="I35" s="25">
        <v>0</v>
      </c>
      <c r="J35" s="25">
        <v>1.075</v>
      </c>
      <c r="K35" s="25">
        <v>7426.5749999999998</v>
      </c>
      <c r="L35" s="25">
        <v>657</v>
      </c>
      <c r="M35" s="25">
        <v>59150.574999999997</v>
      </c>
      <c r="N35" s="25">
        <v>3822</v>
      </c>
      <c r="O35" s="25">
        <v>62972.574999999997</v>
      </c>
    </row>
    <row r="36" spans="1:17" ht="15" customHeight="1" x14ac:dyDescent="0.2">
      <c r="A36" s="7">
        <v>1998</v>
      </c>
      <c r="B36" s="25">
        <v>55857</v>
      </c>
      <c r="C36" s="25">
        <v>902</v>
      </c>
      <c r="D36" s="25">
        <v>56759</v>
      </c>
      <c r="E36" s="25">
        <v>4792.5</v>
      </c>
      <c r="F36" s="25">
        <v>2995</v>
      </c>
      <c r="G36" s="25">
        <v>7787.5</v>
      </c>
      <c r="H36" s="25">
        <v>6.0750000000000002</v>
      </c>
      <c r="I36" s="25">
        <v>0</v>
      </c>
      <c r="J36" s="25">
        <v>6.0750000000000002</v>
      </c>
      <c r="K36" s="25">
        <v>7793.5749999999998</v>
      </c>
      <c r="L36" s="25">
        <v>657</v>
      </c>
      <c r="M36" s="25">
        <v>61312.574999999997</v>
      </c>
      <c r="N36" s="25">
        <v>3897</v>
      </c>
      <c r="O36" s="25">
        <v>65209.574999999997</v>
      </c>
    </row>
    <row r="37" spans="1:17" ht="15" customHeight="1" x14ac:dyDescent="0.2">
      <c r="A37" s="7">
        <v>1999</v>
      </c>
      <c r="B37" s="25">
        <v>58085</v>
      </c>
      <c r="C37" s="25">
        <v>912</v>
      </c>
      <c r="D37" s="25">
        <v>58997</v>
      </c>
      <c r="E37" s="25">
        <v>5198</v>
      </c>
      <c r="F37" s="25">
        <v>3309</v>
      </c>
      <c r="G37" s="25">
        <v>8507</v>
      </c>
      <c r="H37" s="25">
        <v>18.8</v>
      </c>
      <c r="I37" s="25">
        <v>0</v>
      </c>
      <c r="J37" s="25">
        <v>18.8</v>
      </c>
      <c r="K37" s="25">
        <v>8525.7999999999993</v>
      </c>
      <c r="L37" s="25">
        <v>657</v>
      </c>
      <c r="M37" s="25">
        <v>63958.8</v>
      </c>
      <c r="N37" s="25">
        <v>4221</v>
      </c>
      <c r="O37" s="25">
        <v>68179.8</v>
      </c>
    </row>
    <row r="38" spans="1:17" ht="15" customHeight="1" x14ac:dyDescent="0.2">
      <c r="A38" s="7">
        <v>2000</v>
      </c>
      <c r="B38" s="25">
        <v>60095</v>
      </c>
      <c r="C38" s="25">
        <v>968</v>
      </c>
      <c r="D38" s="25">
        <v>61063</v>
      </c>
      <c r="E38" s="25">
        <v>6548</v>
      </c>
      <c r="F38" s="25">
        <v>4075</v>
      </c>
      <c r="G38" s="25">
        <v>10623</v>
      </c>
      <c r="H38" s="25">
        <v>19.024999999999999</v>
      </c>
      <c r="I38" s="25">
        <v>0</v>
      </c>
      <c r="J38" s="25">
        <v>19.024999999999999</v>
      </c>
      <c r="K38" s="25">
        <v>10642.025</v>
      </c>
      <c r="L38" s="25">
        <v>2007</v>
      </c>
      <c r="M38" s="25">
        <v>68669.024999999994</v>
      </c>
      <c r="N38" s="25">
        <v>5043</v>
      </c>
      <c r="O38" s="25">
        <v>73712.024999999994</v>
      </c>
    </row>
    <row r="39" spans="1:17" ht="15" customHeight="1" x14ac:dyDescent="0.2">
      <c r="A39" s="7">
        <v>2001</v>
      </c>
      <c r="B39" s="25">
        <v>61551</v>
      </c>
      <c r="C39" s="25">
        <v>972</v>
      </c>
      <c r="D39" s="25">
        <v>62523</v>
      </c>
      <c r="E39" s="25">
        <v>7540</v>
      </c>
      <c r="F39" s="25">
        <v>4166</v>
      </c>
      <c r="G39" s="25">
        <v>11706</v>
      </c>
      <c r="H39" s="25">
        <v>19.024999999999999</v>
      </c>
      <c r="I39" s="25">
        <v>0</v>
      </c>
      <c r="J39" s="25">
        <v>19.024999999999999</v>
      </c>
      <c r="K39" s="25">
        <v>11725.025</v>
      </c>
      <c r="L39" s="25">
        <v>2007</v>
      </c>
      <c r="M39" s="25">
        <v>71117.024999999994</v>
      </c>
      <c r="N39" s="25">
        <v>5138</v>
      </c>
      <c r="O39" s="25">
        <v>76255.024999999994</v>
      </c>
    </row>
    <row r="40" spans="1:17" ht="15" customHeight="1" x14ac:dyDescent="0.2">
      <c r="A40" s="7">
        <v>2002</v>
      </c>
      <c r="B40" s="25">
        <v>64146</v>
      </c>
      <c r="C40" s="25">
        <v>1165</v>
      </c>
      <c r="D40" s="25">
        <v>65311</v>
      </c>
      <c r="E40" s="25">
        <v>10632</v>
      </c>
      <c r="F40" s="25">
        <v>4486</v>
      </c>
      <c r="G40" s="25">
        <v>15118</v>
      </c>
      <c r="H40" s="25">
        <v>22.024999999999999</v>
      </c>
      <c r="I40" s="25">
        <v>0</v>
      </c>
      <c r="J40" s="25">
        <v>22.024999999999999</v>
      </c>
      <c r="K40" s="25">
        <v>15140.025</v>
      </c>
      <c r="L40" s="25">
        <v>2007</v>
      </c>
      <c r="M40" s="25">
        <v>76807.024999999994</v>
      </c>
      <c r="N40" s="25">
        <v>5651</v>
      </c>
      <c r="O40" s="25">
        <v>82458.024999999994</v>
      </c>
    </row>
    <row r="41" spans="1:17" ht="15" customHeight="1" x14ac:dyDescent="0.2">
      <c r="A41" s="7">
        <v>2003</v>
      </c>
      <c r="B41" s="25">
        <v>66587</v>
      </c>
      <c r="C41" s="25">
        <v>1206</v>
      </c>
      <c r="D41" s="25">
        <v>67793</v>
      </c>
      <c r="E41" s="25">
        <v>11693</v>
      </c>
      <c r="F41" s="25">
        <v>5010</v>
      </c>
      <c r="G41" s="25">
        <v>16703</v>
      </c>
      <c r="H41" s="25">
        <v>26.824999999999999</v>
      </c>
      <c r="I41" s="25">
        <v>1.8</v>
      </c>
      <c r="J41" s="25">
        <v>28.625</v>
      </c>
      <c r="K41" s="25">
        <v>16731.625</v>
      </c>
      <c r="L41" s="25">
        <v>2007</v>
      </c>
      <c r="M41" s="25">
        <v>80313.824999999997</v>
      </c>
      <c r="N41" s="25">
        <v>6217.8</v>
      </c>
      <c r="O41" s="25">
        <v>86531.625</v>
      </c>
      <c r="Q41" s="14"/>
    </row>
    <row r="42" spans="1:17" ht="15" customHeight="1" x14ac:dyDescent="0.2">
      <c r="A42" s="7">
        <v>2004</v>
      </c>
      <c r="B42" s="25">
        <v>67572</v>
      </c>
      <c r="C42" s="25">
        <v>1427</v>
      </c>
      <c r="D42" s="25">
        <v>68999</v>
      </c>
      <c r="E42" s="25">
        <v>14529</v>
      </c>
      <c r="F42" s="25">
        <v>5196</v>
      </c>
      <c r="G42" s="25">
        <v>19725</v>
      </c>
      <c r="H42" s="25">
        <v>26.824999999999999</v>
      </c>
      <c r="I42" s="25">
        <v>1.8</v>
      </c>
      <c r="J42" s="25">
        <v>28.625</v>
      </c>
      <c r="K42" s="25">
        <v>19753.625</v>
      </c>
      <c r="L42" s="25">
        <v>2007</v>
      </c>
      <c r="M42" s="25">
        <v>84134.824999999997</v>
      </c>
      <c r="N42" s="25">
        <v>6624.8</v>
      </c>
      <c r="O42" s="25">
        <v>90759.625</v>
      </c>
      <c r="Q42" s="14"/>
    </row>
    <row r="43" spans="1:17" ht="15" customHeight="1" x14ac:dyDescent="0.2">
      <c r="A43" s="7">
        <v>2005</v>
      </c>
      <c r="B43" s="25">
        <v>69274</v>
      </c>
      <c r="C43" s="25">
        <v>1583</v>
      </c>
      <c r="D43" s="25">
        <v>70857</v>
      </c>
      <c r="E43" s="25">
        <v>14992</v>
      </c>
      <c r="F43" s="25">
        <v>5272</v>
      </c>
      <c r="G43" s="25">
        <v>20264</v>
      </c>
      <c r="H43" s="25">
        <v>26.824999999999999</v>
      </c>
      <c r="I43" s="25">
        <v>1.8</v>
      </c>
      <c r="J43" s="25">
        <v>28.625</v>
      </c>
      <c r="K43" s="25">
        <v>20292.625</v>
      </c>
      <c r="L43" s="25">
        <v>2007</v>
      </c>
      <c r="M43" s="25">
        <v>86299.824999999997</v>
      </c>
      <c r="N43" s="25">
        <v>6856.8</v>
      </c>
      <c r="O43" s="25">
        <v>93156.625</v>
      </c>
      <c r="Q43" s="14"/>
    </row>
    <row r="44" spans="1:17" ht="15" customHeight="1" x14ac:dyDescent="0.2">
      <c r="A44" s="7">
        <v>2006</v>
      </c>
      <c r="B44" s="25">
        <v>71767</v>
      </c>
      <c r="C44" s="25">
        <v>1666</v>
      </c>
      <c r="D44" s="25">
        <v>73433</v>
      </c>
      <c r="E44" s="25">
        <v>14285</v>
      </c>
      <c r="F44" s="25">
        <v>6672</v>
      </c>
      <c r="G44" s="25">
        <v>20957</v>
      </c>
      <c r="H44" s="25">
        <v>235.05</v>
      </c>
      <c r="I44" s="25">
        <v>1.8</v>
      </c>
      <c r="J44" s="25">
        <v>236.85</v>
      </c>
      <c r="K44" s="25">
        <v>21193.85</v>
      </c>
      <c r="L44" s="25">
        <v>2007</v>
      </c>
      <c r="M44" s="25">
        <v>88294.05</v>
      </c>
      <c r="N44" s="25">
        <v>8339.7999999999993</v>
      </c>
      <c r="O44" s="25">
        <v>96633.85</v>
      </c>
      <c r="Q44" s="14"/>
    </row>
    <row r="45" spans="1:17" ht="15" customHeight="1" x14ac:dyDescent="0.2">
      <c r="A45" s="7">
        <v>2007</v>
      </c>
      <c r="B45" s="25">
        <v>73622</v>
      </c>
      <c r="C45" s="25">
        <v>3249</v>
      </c>
      <c r="D45" s="25">
        <v>76871</v>
      </c>
      <c r="E45" s="25">
        <v>14270</v>
      </c>
      <c r="F45" s="25">
        <v>7055</v>
      </c>
      <c r="G45" s="25">
        <v>21325</v>
      </c>
      <c r="H45" s="25">
        <v>245.25</v>
      </c>
      <c r="I45" s="25">
        <v>1.8</v>
      </c>
      <c r="J45" s="25">
        <v>247.05</v>
      </c>
      <c r="K45" s="25">
        <v>21572.05</v>
      </c>
      <c r="L45" s="25">
        <v>2007</v>
      </c>
      <c r="M45" s="25">
        <v>90144.25</v>
      </c>
      <c r="N45" s="25">
        <v>10305.799999999999</v>
      </c>
      <c r="O45" s="25">
        <v>100450.05</v>
      </c>
      <c r="Q45" s="14"/>
    </row>
    <row r="46" spans="1:17" ht="15" customHeight="1" x14ac:dyDescent="0.2">
      <c r="A46" s="7">
        <v>2008</v>
      </c>
      <c r="B46" s="25">
        <v>74546</v>
      </c>
      <c r="C46" s="25">
        <v>3742</v>
      </c>
      <c r="D46" s="25">
        <v>78288</v>
      </c>
      <c r="E46" s="25">
        <v>15291</v>
      </c>
      <c r="F46" s="25">
        <v>7961</v>
      </c>
      <c r="G46" s="25">
        <v>23252</v>
      </c>
      <c r="H46" s="25">
        <v>412.68</v>
      </c>
      <c r="I46" s="25">
        <v>1.8</v>
      </c>
      <c r="J46" s="25">
        <v>414.48</v>
      </c>
      <c r="K46" s="25">
        <v>23666.48</v>
      </c>
      <c r="L46" s="25">
        <v>2007</v>
      </c>
      <c r="M46" s="25">
        <v>92256.68</v>
      </c>
      <c r="N46" s="25">
        <v>11704.8</v>
      </c>
      <c r="O46" s="25">
        <v>103961.48</v>
      </c>
      <c r="Q46" s="14"/>
    </row>
    <row r="47" spans="1:17" ht="15" customHeight="1" thickBot="1" x14ac:dyDescent="0.25">
      <c r="A47" s="31">
        <v>2009</v>
      </c>
      <c r="B47" s="32">
        <v>75586.7</v>
      </c>
      <c r="C47" s="32">
        <v>3704.4</v>
      </c>
      <c r="D47" s="32">
        <v>79291.100000000006</v>
      </c>
      <c r="E47" s="32">
        <v>15291.356020000003</v>
      </c>
      <c r="F47" s="32">
        <v>9023.5603734654087</v>
      </c>
      <c r="G47" s="32">
        <v>24314.916393465413</v>
      </c>
      <c r="H47" s="32">
        <v>600.48400000000004</v>
      </c>
      <c r="I47" s="32">
        <v>1.8</v>
      </c>
      <c r="J47" s="32">
        <v>602.28399999999999</v>
      </c>
      <c r="K47" s="32">
        <v>24917.200393465413</v>
      </c>
      <c r="L47" s="32">
        <v>2007</v>
      </c>
      <c r="M47" s="32">
        <v>93485.540020000015</v>
      </c>
      <c r="N47" s="32">
        <v>12729.760373465408</v>
      </c>
      <c r="O47" s="32">
        <v>106215.30039346543</v>
      </c>
      <c r="Q47" s="14"/>
    </row>
    <row r="48" spans="1:17" ht="15" customHeight="1" x14ac:dyDescent="0.2">
      <c r="A48" s="17" t="s">
        <v>13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Q48" s="14"/>
    </row>
    <row r="49" spans="1:1" ht="15" customHeight="1" x14ac:dyDescent="0.2">
      <c r="A49" s="17"/>
    </row>
    <row r="50" spans="1:1" ht="15" customHeight="1" x14ac:dyDescent="0.2">
      <c r="A50" s="17" t="s">
        <v>14</v>
      </c>
    </row>
    <row r="51" spans="1:1" ht="15" customHeight="1" x14ac:dyDescent="0.2">
      <c r="A51" s="17" t="s">
        <v>25</v>
      </c>
    </row>
    <row r="52" spans="1:1" ht="15" customHeight="1" x14ac:dyDescent="0.2">
      <c r="A52" s="17" t="s">
        <v>26</v>
      </c>
    </row>
    <row r="53" spans="1:1" ht="15" customHeight="1" x14ac:dyDescent="0.2">
      <c r="A53" s="18"/>
    </row>
    <row r="54" spans="1:1" ht="15" customHeight="1" x14ac:dyDescent="0.2">
      <c r="A54" s="18"/>
    </row>
  </sheetData>
  <mergeCells count="3">
    <mergeCell ref="M10:O10"/>
    <mergeCell ref="A10:A11"/>
    <mergeCell ref="H10:J10"/>
  </mergeCells>
  <phoneticPr fontId="0" type="noConversion"/>
  <hyperlinks>
    <hyperlink ref="D1" location="Índice!A1" display="Retorna ao Índice" xr:uid="{6475F0BB-DE4B-446B-BEDA-B698AC112D1C}"/>
  </hyperlinks>
  <printOptions horizontalCentered="1"/>
  <pageMargins left="0.78740157480314965" right="0.78740157480314965" top="1.9685039370078741" bottom="0.98425196850393704" header="0.51181102362204722" footer="0.51181102362204722"/>
  <pageSetup paperSize="9" scale="82" orientation="landscape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5483-4AD5-4C49-A2C1-A89E3019E09A}">
  <sheetPr>
    <tabColor rgb="FFFFFF00"/>
  </sheetPr>
  <dimension ref="A1:D19"/>
  <sheetViews>
    <sheetView showGridLines="0" workbookViewId="0">
      <selection activeCell="K7" sqref="K7"/>
    </sheetView>
  </sheetViews>
  <sheetFormatPr defaultRowHeight="15" customHeight="1" x14ac:dyDescent="0.2"/>
  <cols>
    <col min="1" max="2" width="12.7109375" style="6" customWidth="1"/>
    <col min="3" max="16384" width="9.140625" style="6"/>
  </cols>
  <sheetData>
    <row r="1" spans="1:4" ht="15" customHeight="1" x14ac:dyDescent="0.2">
      <c r="D1" s="3" t="s">
        <v>6</v>
      </c>
    </row>
    <row r="8" spans="1:4" ht="15" customHeight="1" x14ac:dyDescent="0.2">
      <c r="A8" s="7" t="s">
        <v>17</v>
      </c>
    </row>
    <row r="9" spans="1:4" ht="15" customHeight="1" thickBot="1" x14ac:dyDescent="0.25">
      <c r="A9" s="23" t="s">
        <v>16</v>
      </c>
    </row>
    <row r="10" spans="1:4" ht="15" customHeight="1" thickBot="1" x14ac:dyDescent="0.25">
      <c r="A10" s="19" t="s">
        <v>9</v>
      </c>
      <c r="B10" s="20" t="s">
        <v>0</v>
      </c>
    </row>
    <row r="11" spans="1:4" ht="15" customHeight="1" x14ac:dyDescent="0.2">
      <c r="A11" s="5">
        <v>1984</v>
      </c>
      <c r="B11" s="13">
        <v>1400</v>
      </c>
    </row>
    <row r="12" spans="1:4" ht="15" customHeight="1" x14ac:dyDescent="0.2">
      <c r="A12" s="5">
        <v>1985</v>
      </c>
      <c r="B12" s="13">
        <v>2100</v>
      </c>
    </row>
    <row r="13" spans="1:4" ht="15" customHeight="1" x14ac:dyDescent="0.2">
      <c r="A13" s="5">
        <v>1986</v>
      </c>
      <c r="B13" s="13">
        <v>4200</v>
      </c>
    </row>
    <row r="14" spans="1:4" ht="15" customHeight="1" x14ac:dyDescent="0.2">
      <c r="A14" s="5">
        <v>1987</v>
      </c>
      <c r="B14" s="13">
        <v>6300</v>
      </c>
    </row>
    <row r="15" spans="1:4" ht="15" customHeight="1" x14ac:dyDescent="0.2">
      <c r="A15" s="5">
        <v>1988</v>
      </c>
      <c r="B15" s="13">
        <v>8400</v>
      </c>
    </row>
    <row r="16" spans="1:4" ht="15" customHeight="1" x14ac:dyDescent="0.2">
      <c r="A16" s="5">
        <v>1989</v>
      </c>
      <c r="B16" s="13">
        <v>10500</v>
      </c>
    </row>
    <row r="17" spans="1:2" ht="15" customHeight="1" x14ac:dyDescent="0.2">
      <c r="A17" s="5">
        <v>1990</v>
      </c>
      <c r="B17" s="13">
        <v>11200</v>
      </c>
    </row>
    <row r="18" spans="1:2" ht="15" customHeight="1" x14ac:dyDescent="0.2">
      <c r="A18" s="5">
        <v>1991</v>
      </c>
      <c r="B18" s="13">
        <v>12600</v>
      </c>
    </row>
    <row r="19" spans="1:2" ht="15" customHeight="1" thickBot="1" x14ac:dyDescent="0.25">
      <c r="A19" s="15">
        <v>2007</v>
      </c>
      <c r="B19" s="16">
        <v>14000</v>
      </c>
    </row>
  </sheetData>
  <phoneticPr fontId="0" type="noConversion"/>
  <hyperlinks>
    <hyperlink ref="D1" location="Índice!A1" display="Retorna ao Índice" xr:uid="{6CC60549-35E7-4E86-9185-9F5EE00B4962}"/>
  </hyperlinks>
  <pageMargins left="0.78740157480314965" right="0.78740157480314965" top="1.9685039370078741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A36B-1BA2-458A-9EAB-63DB80F9A899}">
  <sheetPr>
    <tabColor rgb="FFFFFF00"/>
    <pageSetUpPr fitToPage="1"/>
  </sheetPr>
  <dimension ref="A1:C47"/>
  <sheetViews>
    <sheetView showGridLines="0" topLeftCell="A11" workbookViewId="0">
      <selection activeCell="K7" sqref="K7"/>
    </sheetView>
  </sheetViews>
  <sheetFormatPr defaultRowHeight="15" customHeight="1" x14ac:dyDescent="0.2"/>
  <cols>
    <col min="1" max="1" width="25.7109375" style="5" customWidth="1"/>
    <col min="2" max="2" width="35" style="6" customWidth="1"/>
    <col min="3" max="16384" width="9.140625" style="6"/>
  </cols>
  <sheetData>
    <row r="1" spans="1:3" ht="15" customHeight="1" x14ac:dyDescent="0.2">
      <c r="C1" s="3" t="s">
        <v>6</v>
      </c>
    </row>
    <row r="8" spans="1:3" ht="15" customHeight="1" x14ac:dyDescent="0.2">
      <c r="A8" s="24" t="s">
        <v>20</v>
      </c>
    </row>
    <row r="9" spans="1:3" ht="15" customHeight="1" thickBot="1" x14ac:dyDescent="0.25">
      <c r="A9" s="24" t="s">
        <v>19</v>
      </c>
    </row>
    <row r="10" spans="1:3" ht="15" customHeight="1" x14ac:dyDescent="0.2">
      <c r="A10" s="21" t="s">
        <v>9</v>
      </c>
      <c r="B10" s="21" t="s">
        <v>18</v>
      </c>
    </row>
    <row r="11" spans="1:3" ht="15" customHeight="1" x14ac:dyDescent="0.2">
      <c r="A11" s="5">
        <v>1974</v>
      </c>
      <c r="B11" s="26">
        <v>164200</v>
      </c>
    </row>
    <row r="12" spans="1:3" ht="15" customHeight="1" x14ac:dyDescent="0.2">
      <c r="A12" s="5">
        <v>1975</v>
      </c>
      <c r="B12" s="26">
        <v>166700</v>
      </c>
    </row>
    <row r="13" spans="1:3" ht="15" customHeight="1" x14ac:dyDescent="0.2">
      <c r="A13" s="5">
        <v>1976</v>
      </c>
      <c r="B13" s="26">
        <v>165700</v>
      </c>
    </row>
    <row r="14" spans="1:3" ht="15" customHeight="1" x14ac:dyDescent="0.2">
      <c r="A14" s="5">
        <v>1977</v>
      </c>
      <c r="B14" s="26">
        <v>185800</v>
      </c>
    </row>
    <row r="15" spans="1:3" ht="15" customHeight="1" x14ac:dyDescent="0.2">
      <c r="A15" s="5">
        <v>1978</v>
      </c>
      <c r="B15" s="26">
        <v>201100</v>
      </c>
    </row>
    <row r="16" spans="1:3" ht="15" customHeight="1" x14ac:dyDescent="0.2">
      <c r="A16" s="5">
        <v>1979</v>
      </c>
      <c r="B16" s="26">
        <v>201100</v>
      </c>
    </row>
    <row r="17" spans="1:2" ht="15" customHeight="1" x14ac:dyDescent="0.2">
      <c r="A17" s="5">
        <v>1980</v>
      </c>
      <c r="B17" s="26">
        <v>233100</v>
      </c>
    </row>
    <row r="18" spans="1:2" ht="15" customHeight="1" x14ac:dyDescent="0.2">
      <c r="A18" s="5">
        <v>1981</v>
      </c>
      <c r="B18" s="26">
        <v>233300</v>
      </c>
    </row>
    <row r="19" spans="1:2" ht="15" customHeight="1" x14ac:dyDescent="0.2">
      <c r="A19" s="5">
        <v>1982</v>
      </c>
      <c r="B19" s="26">
        <v>238200</v>
      </c>
    </row>
    <row r="20" spans="1:2" ht="15" customHeight="1" x14ac:dyDescent="0.2">
      <c r="A20" s="5">
        <v>1983</v>
      </c>
      <c r="B20" s="26">
        <v>240100</v>
      </c>
    </row>
    <row r="21" spans="1:2" ht="15" customHeight="1" x14ac:dyDescent="0.2">
      <c r="A21" s="5">
        <v>1984</v>
      </c>
      <c r="B21" s="26">
        <v>240100</v>
      </c>
    </row>
    <row r="22" spans="1:2" ht="15" customHeight="1" x14ac:dyDescent="0.2">
      <c r="A22" s="5">
        <v>1985</v>
      </c>
      <c r="B22" s="26">
        <v>240100</v>
      </c>
    </row>
    <row r="23" spans="1:2" ht="15" customHeight="1" x14ac:dyDescent="0.2">
      <c r="A23" s="5">
        <v>1986</v>
      </c>
      <c r="B23" s="26">
        <v>240100</v>
      </c>
    </row>
    <row r="24" spans="1:2" ht="15" customHeight="1" x14ac:dyDescent="0.2">
      <c r="A24" s="5">
        <v>1987</v>
      </c>
      <c r="B24" s="26">
        <v>240100</v>
      </c>
    </row>
    <row r="25" spans="1:2" ht="15" customHeight="1" x14ac:dyDescent="0.2">
      <c r="A25" s="5">
        <v>1988</v>
      </c>
      <c r="B25" s="26">
        <v>234890</v>
      </c>
    </row>
    <row r="26" spans="1:2" ht="15" customHeight="1" x14ac:dyDescent="0.2">
      <c r="A26" s="5">
        <v>1989</v>
      </c>
      <c r="B26" s="26">
        <v>241040</v>
      </c>
    </row>
    <row r="27" spans="1:2" ht="15" customHeight="1" x14ac:dyDescent="0.2">
      <c r="A27" s="5">
        <v>1990</v>
      </c>
      <c r="B27" s="26">
        <v>241040</v>
      </c>
    </row>
    <row r="28" spans="1:2" ht="15" customHeight="1" x14ac:dyDescent="0.2">
      <c r="A28" s="5">
        <v>1991</v>
      </c>
      <c r="B28" s="26">
        <v>241750</v>
      </c>
    </row>
    <row r="29" spans="1:2" ht="15" customHeight="1" x14ac:dyDescent="0.2">
      <c r="A29" s="5">
        <v>1992</v>
      </c>
      <c r="B29" s="26">
        <v>241680</v>
      </c>
    </row>
    <row r="30" spans="1:2" ht="15" customHeight="1" x14ac:dyDescent="0.2">
      <c r="A30" s="5">
        <v>1993</v>
      </c>
      <c r="B30" s="26">
        <v>239080</v>
      </c>
    </row>
    <row r="31" spans="1:2" ht="15" customHeight="1" x14ac:dyDescent="0.2">
      <c r="A31" s="5">
        <v>1994</v>
      </c>
      <c r="B31" s="26">
        <v>246580</v>
      </c>
    </row>
    <row r="32" spans="1:2" ht="15" customHeight="1" x14ac:dyDescent="0.2">
      <c r="A32" s="5">
        <v>1995</v>
      </c>
      <c r="B32" s="26">
        <v>247880</v>
      </c>
    </row>
    <row r="33" spans="1:2" ht="15" customHeight="1" x14ac:dyDescent="0.2">
      <c r="A33" s="5">
        <v>1996</v>
      </c>
      <c r="B33" s="26">
        <v>249461</v>
      </c>
    </row>
    <row r="34" spans="1:2" ht="15" customHeight="1" x14ac:dyDescent="0.2">
      <c r="A34" s="5">
        <v>1997</v>
      </c>
      <c r="B34" s="26">
        <v>278198</v>
      </c>
    </row>
    <row r="35" spans="1:2" ht="15" customHeight="1" x14ac:dyDescent="0.2">
      <c r="A35" s="5">
        <v>1998</v>
      </c>
      <c r="B35" s="26">
        <v>281096</v>
      </c>
    </row>
    <row r="36" spans="1:2" ht="15" customHeight="1" x14ac:dyDescent="0.2">
      <c r="A36" s="5">
        <v>1999</v>
      </c>
      <c r="B36" s="26">
        <v>285475</v>
      </c>
    </row>
    <row r="37" spans="1:2" ht="15" customHeight="1" x14ac:dyDescent="0.2">
      <c r="A37" s="5">
        <v>2000</v>
      </c>
      <c r="B37" s="26">
        <v>294025</v>
      </c>
    </row>
    <row r="38" spans="1:2" ht="15" customHeight="1" x14ac:dyDescent="0.2">
      <c r="A38" s="5">
        <v>2001</v>
      </c>
      <c r="B38" s="26">
        <v>294025</v>
      </c>
    </row>
    <row r="39" spans="1:2" ht="15" customHeight="1" x14ac:dyDescent="0.2">
      <c r="A39" s="5">
        <v>2002</v>
      </c>
      <c r="B39" s="26">
        <v>294690</v>
      </c>
    </row>
    <row r="40" spans="1:2" ht="15" customHeight="1" x14ac:dyDescent="0.2">
      <c r="A40" s="5">
        <v>2003</v>
      </c>
      <c r="B40" s="26">
        <v>304523</v>
      </c>
    </row>
    <row r="41" spans="1:2" ht="15" customHeight="1" x14ac:dyDescent="0.2">
      <c r="A41" s="5">
        <v>2004</v>
      </c>
      <c r="B41" s="26">
        <v>304523</v>
      </c>
    </row>
    <row r="42" spans="1:2" ht="15" customHeight="1" x14ac:dyDescent="0.2">
      <c r="A42" s="5">
        <v>2005</v>
      </c>
      <c r="B42" s="26">
        <v>304618</v>
      </c>
    </row>
    <row r="43" spans="1:2" ht="15" customHeight="1" x14ac:dyDescent="0.2">
      <c r="A43" s="5">
        <v>2006</v>
      </c>
      <c r="B43" s="26">
        <v>304618</v>
      </c>
    </row>
    <row r="44" spans="1:2" ht="15" customHeight="1" x14ac:dyDescent="0.2">
      <c r="A44" s="5">
        <v>2007</v>
      </c>
      <c r="B44" s="26">
        <v>307563</v>
      </c>
    </row>
    <row r="45" spans="1:2" ht="15" customHeight="1" x14ac:dyDescent="0.2">
      <c r="A45" s="5">
        <v>2008</v>
      </c>
      <c r="B45" s="26">
        <v>325050</v>
      </c>
    </row>
    <row r="46" spans="1:2" ht="15" customHeight="1" x14ac:dyDescent="0.2">
      <c r="A46" s="5">
        <v>2009</v>
      </c>
      <c r="B46" s="26">
        <v>332703</v>
      </c>
    </row>
    <row r="47" spans="1:2" ht="15" customHeight="1" x14ac:dyDescent="0.2">
      <c r="A47" s="5">
        <v>2010</v>
      </c>
      <c r="B47" s="26">
        <v>332703</v>
      </c>
    </row>
  </sheetData>
  <phoneticPr fontId="0" type="noConversion"/>
  <hyperlinks>
    <hyperlink ref="C1" location="Índice!A1" display="Retorna ao Índice" xr:uid="{2D2B7F16-C394-4D46-9A90-420053CFE915}"/>
  </hyperlinks>
  <pageMargins left="0.78740157480314965" right="0.78740157480314965" top="1.9685039370078741" bottom="0.98425196850393704" header="0.51181102362204722" footer="0.51181102362204722"/>
  <pageSetup paperSize="9" scale="97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2" ma:contentTypeDescription="Crie um novo documento." ma:contentTypeScope="" ma:versionID="78d3bcda57241e335acbe8ee7dc65d50">
  <xsd:schema xmlns:xsd="http://www.w3.org/2001/XMLSchema" xmlns:xs="http://www.w3.org/2001/XMLSchema" xmlns:p="http://schemas.microsoft.com/office/2006/metadata/properties" xmlns:ns2="e6ab3a8c-1b9d-4e48-929c-0169f452390a" xmlns:ns3="c2692117-a0d7-4be3-956d-8428dc4fd62b" xmlns:ns4="da298a69-1833-4b3d-9e07-d63a39461a7d" targetNamespace="http://schemas.microsoft.com/office/2006/metadata/properties" ma:root="true" ma:fieldsID="c61f6b2b132b4914b1ff4283b54bd4c1" ns2:_="" ns3:_="" ns4:_="">
    <xsd:import namespace="e6ab3a8c-1b9d-4e48-929c-0169f452390a"/>
    <xsd:import namespace="c2692117-a0d7-4be3-956d-8428dc4fd62b"/>
    <xsd:import namespace="da298a69-1833-4b3d-9e07-d63a39461a7d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98a69-1833-4b3d-9e07-d63a39461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o xmlns="e6ab3a8c-1b9d-4e48-929c-0169f452390a">515</Topico>
    <Publicacao xmlns="e6ab3a8c-1b9d-4e48-929c-0169f452390a" xsi:nil="true"/>
    <ka0f0c7cfd80493d8c6a33a83b804b29 xmlns="c2692117-a0d7-4be3-956d-8428dc4fd62b">
      <Terms xmlns="http://schemas.microsoft.com/office/infopath/2007/PartnerControls"/>
    </ka0f0c7cfd80493d8c6a33a83b804b29>
    <TaxCatchAll xmlns="c2692117-a0d7-4be3-956d-8428dc4fd62b"/>
    <Ordem xmlns="e6ab3a8c-1b9d-4e48-929c-0169f452390a">93</Ordem>
  </documentManagement>
</p:properties>
</file>

<file path=customXml/itemProps1.xml><?xml version="1.0" encoding="utf-8"?>
<ds:datastoreItem xmlns:ds="http://schemas.openxmlformats.org/officeDocument/2006/customXml" ds:itemID="{63BFADAF-D509-4DDE-8EE5-E8996C2FF62C}"/>
</file>

<file path=customXml/itemProps2.xml><?xml version="1.0" encoding="utf-8"?>
<ds:datastoreItem xmlns:ds="http://schemas.openxmlformats.org/officeDocument/2006/customXml" ds:itemID="{D4E8A1FC-080F-4E99-99AE-56C85F3A7567}"/>
</file>

<file path=customXml/itemProps3.xml><?xml version="1.0" encoding="utf-8"?>
<ds:datastoreItem xmlns:ds="http://schemas.openxmlformats.org/officeDocument/2006/customXml" ds:itemID="{AF7F6BC4-42B9-48A5-A5F8-F012CAA403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4</vt:i4>
      </vt:variant>
    </vt:vector>
  </HeadingPairs>
  <TitlesOfParts>
    <vt:vector size="14" baseType="lpstr">
      <vt:lpstr>Índice</vt:lpstr>
      <vt:lpstr>Tabela I.1</vt:lpstr>
      <vt:lpstr>Tabela I.1.1</vt:lpstr>
      <vt:lpstr>Tabela I.2</vt:lpstr>
      <vt:lpstr>Tabela I.2.1</vt:lpstr>
      <vt:lpstr>Tabela I.3</vt:lpstr>
      <vt:lpstr>Tabela I.4</vt:lpstr>
      <vt:lpstr>aux I.1</vt:lpstr>
      <vt:lpstr>auxI.2</vt:lpstr>
      <vt:lpstr>auxI.3</vt:lpstr>
      <vt:lpstr>'aux I.1'!Area_de_impressao</vt:lpstr>
      <vt:lpstr>auxI.2!Area_de_impressao</vt:lpstr>
      <vt:lpstr>auxI.3!Area_de_impressao</vt:lpstr>
      <vt:lpstr>'Tabela I.1'!Area_de_impressao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I - Capacidade instalada</dc:title>
  <dc:creator>Rogério Matos;Bernardo Honigbaum;Theo Pagartanidis</dc:creator>
  <cp:lastModifiedBy>Theo Juliano Pagartanidis</cp:lastModifiedBy>
  <cp:lastPrinted>2010-08-05T14:04:50Z</cp:lastPrinted>
  <dcterms:created xsi:type="dcterms:W3CDTF">2001-12-23T00:31:56Z</dcterms:created>
  <dcterms:modified xsi:type="dcterms:W3CDTF">2026-07-28T12:52:42Z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0x010100C605A40907E22A44A04B53D7345D6DBB</vt:lpwstr>
  </property>
  <property fmtid="{D5CDD505-2E9C-101B-9397-08002B2CF9AE}" pid="3" name="Tag">
    <vt:lpwstr/>
  </property>
</Properties>
</file>